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0890168f6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578b52f2dfd4b4c"/>
    <x:sheet xmlns:r="http://schemas.openxmlformats.org/officeDocument/2006/relationships" name="Scenario Simulator" sheetId="2" r:id="Rd1b5a0423fe549a0"/>
    <x:sheet xmlns:r="http://schemas.openxmlformats.org/officeDocument/2006/relationships" name="KPI Evidence" sheetId="3" r:id="Rf7f18e84d4c3459e"/>
    <x:sheet xmlns:r="http://schemas.openxmlformats.org/officeDocument/2006/relationships" name="Bottlenecks" sheetId="4" r:id="R90d76388681b49b9"/>
    <x:sheet xmlns:r="http://schemas.openxmlformats.org/officeDocument/2006/relationships" name="Process Variants" sheetId="5" r:id="R3f7eb12a93e543d1"/>
    <x:sheet xmlns:r="http://schemas.openxmlformats.org/officeDocument/2006/relationships" name="SLA Risk" sheetId="6" r:id="R2ee652f129aa4fd8"/>
    <x:sheet xmlns:r="http://schemas.openxmlformats.org/officeDocument/2006/relationships" name="Data Dictionary" sheetId="7" r:id="R6bf1c56e4e79409c"/>
    <x:sheet xmlns:r="http://schemas.openxmlformats.org/officeDocument/2006/relationships" name="Sources" sheetId="8" r:id="R63b8a57dd57840b9"/>
  </x:sheets>
</x:workbook>
</file>

<file path=xl/comments1.xml><?xml version="1.0" encoding="utf-8"?>
<x:comments xmlns:x="http://schemas.openxmlformats.org/spreadsheetml/2006/main">
  <x:authors>
    <x:author>tc={18F91EFF-59DA-BFBE-0B1C-244A138599E3}</x:author>
    <x:author>tc={DCE11879-2C8A-E902-6D0C-1CF837C531FE}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Portfolio assumption: replace with Finance-owned delay-hour value before production use.</x:t>
        </x:r>
      </x:text>
    </x:comment>
    <x:comment ref="I1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This value is formula-driven and reconciles to the Python pipeline output in column 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"/>
    <x:numFmt numFmtId="202" formatCode="0.00%"/>
    <x:numFmt numFmtId="203" formatCode="0.000"/>
    <x:numFmt numFmtId="204" formatCode="&quot;$&quot;#,##0.00"/>
    <x:numFmt numFmtId="205" formatCode="0.00&quot;x&quot;"/>
    <x:numFmt numFmtId="206" formatCode="&quot;$&quot;#,##0"/>
    <x:numFmt numFmtId="207" formatCode="0.00&quot; h&quot;"/>
    <x:numFmt numFmtId="208" formatCode="0.0"/>
    <x:numFmt numFmtId="209" formatCode="0.0%"/>
  </x:numFmts>
  <x:fonts count="16">
    <x:font>
      <x:sz val="11"/>
      <x:name val="Carlito"/>
    </x:font>
    <x:font>
      <x:sz val="11"/>
      <x:color rgb="FF111827"/>
      <x:name val="Aptos"/>
    </x:font>
    <x:font>
      <x:b/>
      <x:sz val="22"/>
      <x:color rgb="FFFFFFFF"/>
      <x:name val="Aptos Display"/>
    </x:font>
    <x:font>
      <x:sz val="10"/>
      <x:color rgb="FFD9E5FF"/>
      <x:name val="Aptos"/>
    </x:font>
    <x:font>
      <x:b/>
      <x:sz val="10"/>
      <x:color rgb="FFFFFFFF"/>
      <x:name val="Carlito"/>
    </x:font>
    <x:font>
      <x:sz val="10"/>
      <x:color rgb="FF111827"/>
      <x:name val="Carlito"/>
    </x:font>
    <x:font>
      <x:b/>
      <x:sz val="10"/>
      <x:color rgb="FF165DFF"/>
      <x:name val="Carlito"/>
    </x:font>
    <x:font>
      <x:sz val="10"/>
      <x:color rgb="FF165DFF"/>
      <x:name val="Carlito"/>
    </x:font>
    <x:font>
      <x:i/>
      <x:sz val="10"/>
      <x:color rgb="FF8A5A00"/>
      <x:name val="Carlito"/>
    </x:font>
    <x:font>
      <x:b/>
      <x:sz val="21"/>
      <x:color rgb="FF111827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b/>
      <x:sz val="10"/>
      <x:color rgb="FF047857"/>
      <x:name val="Carlito"/>
    </x:font>
    <x:font>
      <x:b/>
      <x:sz val="18"/>
      <x:color rgb="FF111827"/>
      <x:name val="Carlito"/>
    </x:font>
    <x:font>
      <x:b/>
      <x:sz val="10"/>
      <x:color rgb="FF9A6700"/>
      <x:name val="Carlito"/>
    </x:font>
    <x:font>
      <x:b/>
      <x:sz val="11"/>
      <x:color rgb="FF991B1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3213C"/>
      </x:patternFill>
    </x:fill>
    <x:fill>
      <x:patternFill patternType="solid">
        <x:fgColor rgb="FF243A63"/>
      </x:patternFill>
    </x:fill>
    <x:fill>
      <x:patternFill patternType="solid">
        <x:fgColor rgb="FFEAF1FF"/>
      </x:patternFill>
    </x:fill>
    <x:fill>
      <x:patternFill patternType="solid">
        <x:fgColor rgb="FFFFF7E6"/>
      </x:patternFill>
    </x:fill>
    <x:fill>
      <x:patternFill patternType="solid">
        <x:fgColor rgb="FF165DFF"/>
      </x:patternFill>
    </x:fill>
    <x:fill>
      <x:patternFill patternType="solid">
        <x:fgColor rgb="FFFFFFFF"/>
      </x:patternFill>
    </x:fill>
    <x:fill>
      <x:patternFill patternType="solid">
        <x:fgColor rgb="FF7C3AED"/>
      </x:patternFill>
    </x:fill>
    <x:fill>
      <x:patternFill patternType="solid">
        <x:fgColor rgb="FFF59E0B"/>
      </x:patternFill>
    </x:fill>
    <x:fill>
      <x:patternFill patternType="solid">
        <x:fgColor rgb="FFDC2626"/>
      </x:patternFill>
    </x:fill>
    <x:fill>
      <x:patternFill patternType="solid">
        <x:fgColor rgb="FF00A878"/>
      </x:patternFill>
    </x:fill>
    <x:fill>
      <x:patternFill patternType="solid">
        <x:fgColor rgb="FFEAF8F3"/>
      </x:patternFill>
    </x:fill>
    <x:fill>
      <x:patternFill patternType="solid">
        <x:fgColor rgb="FFFFF1F1"/>
      </x:patternFill>
    </x:fill>
  </x:fills>
  <x:borders count="15">
    <x:border/>
    <x:border>
      <x:right style="thin">
        <x:color rgb="FF314363"/>
      </x:right>
    </x:border>
    <x:border>
      <x:left style="thin">
        <x:color rgb="FF314363"/>
      </x:left>
      <x:right style="thin">
        <x:color rgb="FF314363"/>
      </x:right>
    </x:border>
    <x:border>
      <x:left style="thin">
        <x:color rgb="FF314363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200" fontId="5" fillId="0" borderId="4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3" fontId="5" fillId="0" borderId="5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4" fontId="6" fillId="0" borderId="5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5" fontId="5" fillId="0" borderId="5" xfId="0" applyNumberFormat="1" applyFont="1" applyFill="1" applyBorder="1" applyAlignment="1">
      <x:alignment vertical="center"/>
    </x:xf>
    <x:xf numFmtId="201" fontId="5" fillId="0" borderId="4" xfId="0" applyNumberFormat="1" applyFont="1" applyFill="1" applyBorder="1" applyAlignment="1">
      <x:alignment vertical="center"/>
    </x:xf>
    <x:xf numFmtId="202" fontId="5" fillId="0" borderId="4" xfId="0" applyNumberFormat="1" applyFont="1" applyFill="1" applyBorder="1" applyAlignment="1">
      <x:alignment vertical="center"/>
    </x:xf>
    <x:xf numFmtId="206" fontId="5" fillId="0" borderId="4" xfId="0" applyNumberFormat="1" applyFont="1" applyFill="1" applyBorder="1" applyAlignment="1">
      <x:alignment vertical="center"/>
    </x:xf>
    <x:xf numFmtId="206" fontId="5" fillId="0" borderId="5" xfId="0" applyNumberFormat="1" applyFont="1" applyFill="1" applyBorder="1" applyAlignment="1">
      <x:alignment vertical="center"/>
    </x:xf>
    <x:xf numFmtId="205" fontId="5" fillId="0" borderId="4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  <x:xf numFmtId="206" fontId="7" fillId="0" borderId="4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206" fontId="7" fillId="0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4" xfId="0" applyNumberFormat="1" applyFont="1" applyFill="1" applyBorder="1"/>
    <x:xf numFmtId="0" fontId="9" fillId="7" borderId="12" xfId="0" applyNumberFormat="1" applyFont="1" applyFill="1" applyBorder="1"/>
    <x:xf numFmtId="200" fontId="9" fillId="7" borderId="6" xfId="0" applyNumberFormat="1" applyFont="1" applyFill="1" applyBorder="1"/>
    <x:xf numFmtId="200" fontId="9" fillId="7" borderId="7" xfId="0" applyNumberFormat="1" applyFont="1" applyFill="1" applyBorder="1"/>
    <x:xf numFmtId="200" fontId="9" fillId="7" borderId="8" xfId="0" applyNumberFormat="1" applyFont="1" applyFill="1" applyBorder="1"/>
    <x:xf numFmtId="200" fontId="9" fillId="7" borderId="9" xfId="0" applyNumberFormat="1" applyFont="1" applyFill="1" applyBorder="1"/>
    <x:xf numFmtId="200" fontId="9" fillId="7" borderId="0" xfId="0" applyNumberFormat="1" applyFont="1" applyFill="1" applyBorder="1"/>
    <x:xf numFmtId="200" fontId="9" fillId="7" borderId="10" xfId="0" applyNumberFormat="1" applyFont="1" applyFill="1" applyBorder="1"/>
    <x:xf numFmtId="200" fontId="9" fillId="7" borderId="11" xfId="0" applyNumberFormat="1" applyFont="1" applyFill="1" applyBorder="1"/>
    <x:xf numFmtId="200" fontId="9" fillId="7" borderId="4" xfId="0" applyNumberFormat="1" applyFont="1" applyFill="1" applyBorder="1"/>
    <x:xf numFmtId="200" fontId="9" fillId="7" borderId="12" xfId="0" applyNumberFormat="1" applyFont="1" applyFill="1" applyBorder="1"/>
    <x:xf numFmtId="200" fontId="9" fillId="7" borderId="6" xfId="0" applyNumberFormat="1" applyFont="1" applyFill="1" applyBorder="1" applyAlignment="1">
      <x:alignment horizontal="center"/>
    </x:xf>
    <x:xf numFmtId="200" fontId="9" fillId="7" borderId="7" xfId="0" applyNumberFormat="1" applyFont="1" applyFill="1" applyBorder="1" applyAlignment="1">
      <x:alignment horizontal="center"/>
    </x:xf>
    <x:xf numFmtId="200" fontId="9" fillId="7" borderId="8" xfId="0" applyNumberFormat="1" applyFont="1" applyFill="1" applyBorder="1" applyAlignment="1">
      <x:alignment horizontal="center"/>
    </x:xf>
    <x:xf numFmtId="200" fontId="9" fillId="7" borderId="9" xfId="0" applyNumberFormat="1" applyFont="1" applyFill="1" applyBorder="1" applyAlignment="1">
      <x:alignment horizontal="center"/>
    </x:xf>
    <x:xf numFmtId="200" fontId="9" fillId="7" borderId="0" xfId="0" applyNumberFormat="1" applyFont="1" applyFill="1" applyBorder="1" applyAlignment="1">
      <x:alignment horizontal="center"/>
    </x:xf>
    <x:xf numFmtId="200" fontId="9" fillId="7" borderId="10" xfId="0" applyNumberFormat="1" applyFont="1" applyFill="1" applyBorder="1" applyAlignment="1">
      <x:alignment horizontal="center"/>
    </x:xf>
    <x:xf numFmtId="200" fontId="9" fillId="7" borderId="11" xfId="0" applyNumberFormat="1" applyFont="1" applyFill="1" applyBorder="1" applyAlignment="1">
      <x:alignment horizontal="center"/>
    </x:xf>
    <x:xf numFmtId="200" fontId="9" fillId="7" borderId="4" xfId="0" applyNumberFormat="1" applyFont="1" applyFill="1" applyBorder="1" applyAlignment="1">
      <x:alignment horizontal="center"/>
    </x:xf>
    <x:xf numFmtId="200" fontId="9" fillId="7" borderId="12" xfId="0" applyNumberFormat="1" applyFont="1" applyFill="1" applyBorder="1" applyAlignment="1">
      <x:alignment horizontal="center"/>
    </x:xf>
    <x:xf numFmtId="200" fontId="9" fillId="7" borderId="6" xfId="0" applyNumberFormat="1" applyFont="1" applyFill="1" applyBorder="1" applyAlignment="1">
      <x:alignment horizontal="center" vertical="center"/>
    </x:xf>
    <x:xf numFmtId="200" fontId="9" fillId="7" borderId="7" xfId="0" applyNumberFormat="1" applyFont="1" applyFill="1" applyBorder="1" applyAlignment="1">
      <x:alignment horizontal="center" vertical="center"/>
    </x:xf>
    <x:xf numFmtId="200" fontId="9" fillId="7" borderId="8" xfId="0" applyNumberFormat="1" applyFont="1" applyFill="1" applyBorder="1" applyAlignment="1">
      <x:alignment horizontal="center" vertical="center"/>
    </x:xf>
    <x:xf numFmtId="200" fontId="9" fillId="7" borderId="9" xfId="0" applyNumberFormat="1" applyFont="1" applyFill="1" applyBorder="1" applyAlignment="1">
      <x:alignment horizontal="center" vertical="center"/>
    </x:xf>
    <x:xf numFmtId="200" fontId="9" fillId="7" borderId="0" xfId="0" applyNumberFormat="1" applyFont="1" applyFill="1" applyBorder="1" applyAlignment="1">
      <x:alignment horizontal="center" vertical="center"/>
    </x:xf>
    <x:xf numFmtId="200" fontId="9" fillId="7" borderId="10" xfId="0" applyNumberFormat="1" applyFont="1" applyFill="1" applyBorder="1" applyAlignment="1">
      <x:alignment horizontal="center" vertical="center"/>
    </x:xf>
    <x:xf numFmtId="200" fontId="9" fillId="7" borderId="11" xfId="0" applyNumberFormat="1" applyFont="1" applyFill="1" applyBorder="1" applyAlignment="1">
      <x:alignment horizontal="center" vertical="center"/>
    </x:xf>
    <x:xf numFmtId="200" fontId="9" fillId="7" borderId="4" xfId="0" applyNumberFormat="1" applyFont="1" applyFill="1" applyBorder="1" applyAlignment="1">
      <x:alignment horizontal="center" vertical="center"/>
    </x:xf>
    <x:xf numFmtId="200" fontId="9" fillId="7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207" fontId="9" fillId="7" borderId="6" xfId="0" applyNumberFormat="1" applyFont="1" applyFill="1" applyBorder="1"/>
    <x:xf numFmtId="207" fontId="9" fillId="7" borderId="7" xfId="0" applyNumberFormat="1" applyFont="1" applyFill="1" applyBorder="1"/>
    <x:xf numFmtId="207" fontId="9" fillId="7" borderId="8" xfId="0" applyNumberFormat="1" applyFont="1" applyFill="1" applyBorder="1"/>
    <x:xf numFmtId="207" fontId="9" fillId="7" borderId="9" xfId="0" applyNumberFormat="1" applyFont="1" applyFill="1" applyBorder="1"/>
    <x:xf numFmtId="207" fontId="9" fillId="7" borderId="0" xfId="0" applyNumberFormat="1" applyFont="1" applyFill="1" applyBorder="1"/>
    <x:xf numFmtId="207" fontId="9" fillId="7" borderId="10" xfId="0" applyNumberFormat="1" applyFont="1" applyFill="1" applyBorder="1"/>
    <x:xf numFmtId="207" fontId="9" fillId="7" borderId="11" xfId="0" applyNumberFormat="1" applyFont="1" applyFill="1" applyBorder="1"/>
    <x:xf numFmtId="207" fontId="9" fillId="7" borderId="4" xfId="0" applyNumberFormat="1" applyFont="1" applyFill="1" applyBorder="1"/>
    <x:xf numFmtId="207" fontId="9" fillId="7" borderId="12" xfId="0" applyNumberFormat="1" applyFont="1" applyFill="1" applyBorder="1"/>
    <x:xf numFmtId="207" fontId="9" fillId="7" borderId="6" xfId="0" applyNumberFormat="1" applyFont="1" applyFill="1" applyBorder="1" applyAlignment="1">
      <x:alignment horizontal="center"/>
    </x:xf>
    <x:xf numFmtId="207" fontId="9" fillId="7" borderId="7" xfId="0" applyNumberFormat="1" applyFont="1" applyFill="1" applyBorder="1" applyAlignment="1">
      <x:alignment horizontal="center"/>
    </x:xf>
    <x:xf numFmtId="207" fontId="9" fillId="7" borderId="8" xfId="0" applyNumberFormat="1" applyFont="1" applyFill="1" applyBorder="1" applyAlignment="1">
      <x:alignment horizontal="center"/>
    </x:xf>
    <x:xf numFmtId="207" fontId="9" fillId="7" borderId="9" xfId="0" applyNumberFormat="1" applyFont="1" applyFill="1" applyBorder="1" applyAlignment="1">
      <x:alignment horizontal="center"/>
    </x:xf>
    <x:xf numFmtId="207" fontId="9" fillId="7" borderId="0" xfId="0" applyNumberFormat="1" applyFont="1" applyFill="1" applyBorder="1" applyAlignment="1">
      <x:alignment horizontal="center"/>
    </x:xf>
    <x:xf numFmtId="207" fontId="9" fillId="7" borderId="10" xfId="0" applyNumberFormat="1" applyFont="1" applyFill="1" applyBorder="1" applyAlignment="1">
      <x:alignment horizontal="center"/>
    </x:xf>
    <x:xf numFmtId="207" fontId="9" fillId="7" borderId="11" xfId="0" applyNumberFormat="1" applyFont="1" applyFill="1" applyBorder="1" applyAlignment="1">
      <x:alignment horizontal="center"/>
    </x:xf>
    <x:xf numFmtId="207" fontId="9" fillId="7" borderId="4" xfId="0" applyNumberFormat="1" applyFont="1" applyFill="1" applyBorder="1" applyAlignment="1">
      <x:alignment horizontal="center"/>
    </x:xf>
    <x:xf numFmtId="207" fontId="9" fillId="7" borderId="12" xfId="0" applyNumberFormat="1" applyFont="1" applyFill="1" applyBorder="1" applyAlignment="1">
      <x:alignment horizontal="center"/>
    </x:xf>
    <x:xf numFmtId="207" fontId="9" fillId="7" borderId="6" xfId="0" applyNumberFormat="1" applyFont="1" applyFill="1" applyBorder="1" applyAlignment="1">
      <x:alignment horizontal="center" vertical="center"/>
    </x:xf>
    <x:xf numFmtId="207" fontId="9" fillId="7" borderId="7" xfId="0" applyNumberFormat="1" applyFont="1" applyFill="1" applyBorder="1" applyAlignment="1">
      <x:alignment horizontal="center" vertical="center"/>
    </x:xf>
    <x:xf numFmtId="207" fontId="9" fillId="7" borderId="8" xfId="0" applyNumberFormat="1" applyFont="1" applyFill="1" applyBorder="1" applyAlignment="1">
      <x:alignment horizontal="center" vertical="center"/>
    </x:xf>
    <x:xf numFmtId="207" fontId="9" fillId="7" borderId="9" xfId="0" applyNumberFormat="1" applyFont="1" applyFill="1" applyBorder="1" applyAlignment="1">
      <x:alignment horizontal="center" vertical="center"/>
    </x:xf>
    <x:xf numFmtId="207" fontId="9" fillId="7" borderId="0" xfId="0" applyNumberFormat="1" applyFont="1" applyFill="1" applyBorder="1" applyAlignment="1">
      <x:alignment horizontal="center" vertical="center"/>
    </x:xf>
    <x:xf numFmtId="207" fontId="9" fillId="7" borderId="10" xfId="0" applyNumberFormat="1" applyFont="1" applyFill="1" applyBorder="1" applyAlignment="1">
      <x:alignment horizontal="center" vertical="center"/>
    </x:xf>
    <x:xf numFmtId="207" fontId="9" fillId="7" borderId="11" xfId="0" applyNumberFormat="1" applyFont="1" applyFill="1" applyBorder="1" applyAlignment="1">
      <x:alignment horizontal="center" vertical="center"/>
    </x:xf>
    <x:xf numFmtId="207" fontId="9" fillId="7" borderId="4" xfId="0" applyNumberFormat="1" applyFont="1" applyFill="1" applyBorder="1" applyAlignment="1">
      <x:alignment horizontal="center" vertical="center"/>
    </x:xf>
    <x:xf numFmtId="207" fontId="9" fillId="7" borderId="12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202" fontId="9" fillId="7" borderId="6" xfId="0" applyNumberFormat="1" applyFont="1" applyFill="1" applyBorder="1"/>
    <x:xf numFmtId="202" fontId="9" fillId="7" borderId="7" xfId="0" applyNumberFormat="1" applyFont="1" applyFill="1" applyBorder="1"/>
    <x:xf numFmtId="202" fontId="9" fillId="7" borderId="8" xfId="0" applyNumberFormat="1" applyFont="1" applyFill="1" applyBorder="1"/>
    <x:xf numFmtId="202" fontId="9" fillId="7" borderId="9" xfId="0" applyNumberFormat="1" applyFont="1" applyFill="1" applyBorder="1"/>
    <x:xf numFmtId="202" fontId="9" fillId="7" borderId="0" xfId="0" applyNumberFormat="1" applyFont="1" applyFill="1" applyBorder="1"/>
    <x:xf numFmtId="202" fontId="9" fillId="7" borderId="10" xfId="0" applyNumberFormat="1" applyFont="1" applyFill="1" applyBorder="1"/>
    <x:xf numFmtId="202" fontId="9" fillId="7" borderId="11" xfId="0" applyNumberFormat="1" applyFont="1" applyFill="1" applyBorder="1"/>
    <x:xf numFmtId="202" fontId="9" fillId="7" borderId="4" xfId="0" applyNumberFormat="1" applyFont="1" applyFill="1" applyBorder="1"/>
    <x:xf numFmtId="202" fontId="9" fillId="7" borderId="12" xfId="0" applyNumberFormat="1" applyFont="1" applyFill="1" applyBorder="1"/>
    <x:xf numFmtId="202" fontId="9" fillId="7" borderId="6" xfId="0" applyNumberFormat="1" applyFont="1" applyFill="1" applyBorder="1" applyAlignment="1">
      <x:alignment horizontal="center"/>
    </x:xf>
    <x:xf numFmtId="202" fontId="9" fillId="7" borderId="7" xfId="0" applyNumberFormat="1" applyFont="1" applyFill="1" applyBorder="1" applyAlignment="1">
      <x:alignment horizontal="center"/>
    </x:xf>
    <x:xf numFmtId="202" fontId="9" fillId="7" borderId="8" xfId="0" applyNumberFormat="1" applyFont="1" applyFill="1" applyBorder="1" applyAlignment="1">
      <x:alignment horizontal="center"/>
    </x:xf>
    <x:xf numFmtId="202" fontId="9" fillId="7" borderId="9" xfId="0" applyNumberFormat="1" applyFont="1" applyFill="1" applyBorder="1" applyAlignment="1">
      <x:alignment horizontal="center"/>
    </x:xf>
    <x:xf numFmtId="202" fontId="9" fillId="7" borderId="0" xfId="0" applyNumberFormat="1" applyFont="1" applyFill="1" applyBorder="1" applyAlignment="1">
      <x:alignment horizontal="center"/>
    </x:xf>
    <x:xf numFmtId="202" fontId="9" fillId="7" borderId="10" xfId="0" applyNumberFormat="1" applyFont="1" applyFill="1" applyBorder="1" applyAlignment="1">
      <x:alignment horizontal="center"/>
    </x:xf>
    <x:xf numFmtId="202" fontId="9" fillId="7" borderId="11" xfId="0" applyNumberFormat="1" applyFont="1" applyFill="1" applyBorder="1" applyAlignment="1">
      <x:alignment horizontal="center"/>
    </x:xf>
    <x:xf numFmtId="202" fontId="9" fillId="7" borderId="4" xfId="0" applyNumberFormat="1" applyFont="1" applyFill="1" applyBorder="1" applyAlignment="1">
      <x:alignment horizontal="center"/>
    </x:xf>
    <x:xf numFmtId="202" fontId="9" fillId="7" borderId="12" xfId="0" applyNumberFormat="1" applyFont="1" applyFill="1" applyBorder="1" applyAlignment="1">
      <x:alignment horizontal="center"/>
    </x:xf>
    <x:xf numFmtId="202" fontId="9" fillId="7" borderId="6" xfId="0" applyNumberFormat="1" applyFont="1" applyFill="1" applyBorder="1" applyAlignment="1">
      <x:alignment horizontal="center" vertical="center"/>
    </x:xf>
    <x:xf numFmtId="202" fontId="9" fillId="7" borderId="7" xfId="0" applyNumberFormat="1" applyFont="1" applyFill="1" applyBorder="1" applyAlignment="1">
      <x:alignment horizontal="center" vertical="center"/>
    </x:xf>
    <x:xf numFmtId="202" fontId="9" fillId="7" borderId="8" xfId="0" applyNumberFormat="1" applyFont="1" applyFill="1" applyBorder="1" applyAlignment="1">
      <x:alignment horizontal="center" vertical="center"/>
    </x:xf>
    <x:xf numFmtId="202" fontId="9" fillId="7" borderId="9" xfId="0" applyNumberFormat="1" applyFont="1" applyFill="1" applyBorder="1" applyAlignment="1">
      <x:alignment horizontal="center" vertical="center"/>
    </x:xf>
    <x:xf numFmtId="202" fontId="9" fillId="7" borderId="0" xfId="0" applyNumberFormat="1" applyFont="1" applyFill="1" applyBorder="1" applyAlignment="1">
      <x:alignment horizontal="center" vertical="center"/>
    </x:xf>
    <x:xf numFmtId="202" fontId="9" fillId="7" borderId="10" xfId="0" applyNumberFormat="1" applyFont="1" applyFill="1" applyBorder="1" applyAlignment="1">
      <x:alignment horizontal="center" vertical="center"/>
    </x:xf>
    <x:xf numFmtId="202" fontId="9" fillId="7" borderId="11" xfId="0" applyNumberFormat="1" applyFont="1" applyFill="1" applyBorder="1" applyAlignment="1">
      <x:alignment horizontal="center" vertical="center"/>
    </x:xf>
    <x:xf numFmtId="202" fontId="9" fillId="7" borderId="4" xfId="0" applyNumberFormat="1" applyFont="1" applyFill="1" applyBorder="1" applyAlignment="1">
      <x:alignment horizontal="center" vertical="center"/>
    </x:xf>
    <x:xf numFmtId="202" fontId="9" fillId="7" borderId="1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203" fontId="9" fillId="7" borderId="6" xfId="0" applyNumberFormat="1" applyFont="1" applyFill="1" applyBorder="1"/>
    <x:xf numFmtId="203" fontId="9" fillId="7" borderId="8" xfId="0" applyNumberFormat="1" applyFont="1" applyFill="1" applyBorder="1"/>
    <x:xf numFmtId="203" fontId="9" fillId="7" borderId="9" xfId="0" applyNumberFormat="1" applyFont="1" applyFill="1" applyBorder="1"/>
    <x:xf numFmtId="203" fontId="9" fillId="7" borderId="10" xfId="0" applyNumberFormat="1" applyFont="1" applyFill="1" applyBorder="1"/>
    <x:xf numFmtId="203" fontId="9" fillId="7" borderId="11" xfId="0" applyNumberFormat="1" applyFont="1" applyFill="1" applyBorder="1"/>
    <x:xf numFmtId="203" fontId="9" fillId="7" borderId="12" xfId="0" applyNumberFormat="1" applyFont="1" applyFill="1" applyBorder="1"/>
    <x:xf numFmtId="203" fontId="9" fillId="7" borderId="6" xfId="0" applyNumberFormat="1" applyFont="1" applyFill="1" applyBorder="1" applyAlignment="1">
      <x:alignment horizontal="center"/>
    </x:xf>
    <x:xf numFmtId="203" fontId="9" fillId="7" borderId="8" xfId="0" applyNumberFormat="1" applyFont="1" applyFill="1" applyBorder="1" applyAlignment="1">
      <x:alignment horizontal="center"/>
    </x:xf>
    <x:xf numFmtId="203" fontId="9" fillId="7" borderId="9" xfId="0" applyNumberFormat="1" applyFont="1" applyFill="1" applyBorder="1" applyAlignment="1">
      <x:alignment horizontal="center"/>
    </x:xf>
    <x:xf numFmtId="203" fontId="9" fillId="7" borderId="10" xfId="0" applyNumberFormat="1" applyFont="1" applyFill="1" applyBorder="1" applyAlignment="1">
      <x:alignment horizontal="center"/>
    </x:xf>
    <x:xf numFmtId="203" fontId="9" fillId="7" borderId="11" xfId="0" applyNumberFormat="1" applyFont="1" applyFill="1" applyBorder="1" applyAlignment="1">
      <x:alignment horizontal="center"/>
    </x:xf>
    <x:xf numFmtId="203" fontId="9" fillId="7" borderId="12" xfId="0" applyNumberFormat="1" applyFont="1" applyFill="1" applyBorder="1" applyAlignment="1">
      <x:alignment horizontal="center"/>
    </x:xf>
    <x:xf numFmtId="203" fontId="9" fillId="7" borderId="6" xfId="0" applyNumberFormat="1" applyFont="1" applyFill="1" applyBorder="1" applyAlignment="1">
      <x:alignment horizontal="center" vertical="center"/>
    </x:xf>
    <x:xf numFmtId="203" fontId="9" fillId="7" borderId="8" xfId="0" applyNumberFormat="1" applyFont="1" applyFill="1" applyBorder="1" applyAlignment="1">
      <x:alignment horizontal="center" vertical="center"/>
    </x:xf>
    <x:xf numFmtId="203" fontId="9" fillId="7" borderId="9" xfId="0" applyNumberFormat="1" applyFont="1" applyFill="1" applyBorder="1" applyAlignment="1">
      <x:alignment horizontal="center" vertical="center"/>
    </x:xf>
    <x:xf numFmtId="203" fontId="9" fillId="7" borderId="10" xfId="0" applyNumberFormat="1" applyFont="1" applyFill="1" applyBorder="1" applyAlignment="1">
      <x:alignment horizontal="center" vertical="center"/>
    </x:xf>
    <x:xf numFmtId="203" fontId="9" fillId="7" borderId="11" xfId="0" applyNumberFormat="1" applyFont="1" applyFill="1" applyBorder="1" applyAlignment="1">
      <x:alignment horizontal="center" vertical="center"/>
    </x:xf>
    <x:xf numFmtId="203" fontId="9" fillId="7" borderId="12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3" xfId="0" applyNumberFormat="1" applyFont="1" applyFill="1" applyBorder="1"/>
    <x:xf numFmtId="0" fontId="10" fillId="2" borderId="5" xfId="0" applyNumberFormat="1" applyFont="1" applyFill="1" applyBorder="1"/>
    <x:xf numFmtId="0" fontId="10" fillId="2" borderId="14" xfId="0" applyNumberFormat="1" applyFont="1" applyFill="1" applyBorder="1"/>
    <x:xf numFmtId="0" fontId="10" fillId="2" borderId="13" xfId="0" applyNumberFormat="1" applyFont="1" applyFill="1" applyBorder="1" applyAlignment="1">
      <x:alignment vertical="center"/>
    </x:xf>
    <x:xf numFmtId="0" fontId="10" fillId="2" borderId="5" xfId="0" applyNumberFormat="1" applyFont="1" applyFill="1" applyBorder="1" applyAlignment="1">
      <x:alignment vertical="center"/>
    </x:xf>
    <x:xf numFmtId="0" fontId="10" fillId="2" borderId="1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0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/>
    <x:xf numFmtId="206" fontId="13" fillId="12" borderId="0" xfId="0" applyNumberFormat="1" applyFont="1" applyFill="1" applyBorder="1"/>
    <x:xf numFmtId="206" fontId="13" fillId="12" borderId="0" xfId="0" applyNumberFormat="1" applyFont="1" applyFill="1" applyBorder="1" applyAlignment="1">
      <x:alignment horizontal="center"/>
    </x:xf>
    <x:xf numFmtId="206" fontId="13" fillId="12" borderId="0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 applyAlignment="1">
      <x:alignment horizontal="center" vertical="center"/>
    </x:xf>
    <x:xf numFmtId="0" fontId="13" fillId="5" borderId="0" xfId="0" applyNumberFormat="1" applyFont="1" applyFill="1" applyBorder="1"/>
    <x:xf numFmtId="205" fontId="13" fillId="5" borderId="0" xfId="0" applyNumberFormat="1" applyFont="1" applyFill="1" applyBorder="1"/>
    <x:xf numFmtId="205" fontId="13" fillId="5" borderId="0" xfId="0" applyNumberFormat="1" applyFont="1" applyFill="1" applyBorder="1" applyAlignment="1">
      <x:alignment horizontal="center"/>
    </x:xf>
    <x:xf numFmtId="205" fontId="13" fillId="5" borderId="0" xfId="0" applyNumberFormat="1" applyFont="1" applyFill="1" applyBorder="1" applyAlignment="1">
      <x:alignment horizontal="center" vertical="center"/>
    </x:xf>
    <x:xf numFmtId="208" fontId="5" fillId="0" borderId="4" xfId="0" applyNumberFormat="1" applyFont="1" applyFill="1" applyBorder="1" applyAlignment="1">
      <x:alignment vertical="center"/>
    </x:xf>
    <x:xf numFmtId="208" fontId="5" fillId="0" borderId="5" xfId="0" applyNumberFormat="1" applyFont="1" applyFill="1" applyBorder="1" applyAlignment="1">
      <x:alignment vertical="center"/>
    </x:xf>
    <x:xf numFmtId="209" fontId="5" fillId="0" borderId="4" xfId="0" applyNumberFormat="1" applyFont="1" applyFill="1" applyBorder="1" applyAlignment="1">
      <x:alignment vertical="center"/>
    </x:xf>
    <x:xf numFmtId="209" fontId="5" fillId="0" borderId="5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vertical="center" wrapText="1"/>
    </x:xf>
    <x:xf numFmtId="203" fontId="5" fillId="0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DC2626"/>
      </x:font>
      <x:fill>
        <x:patternFill patternType="solid">
          <x:bgColor rgb="FFFFF1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42ab409a34031" /><Relationship Type="http://schemas.openxmlformats.org/officeDocument/2006/relationships/theme" Target="/xl/theme/theme1.xml" Id="Re04e08e33a8f4203" /><Relationship Type="http://schemas.microsoft.com/office/2022/11/relationships/FeaturePropertyBag" Target="/xl/featurePropertyBag/featurePropertyBag.xml" Id="R78f18758ff8247e3" /><Relationship Type="http://schemas.openxmlformats.org/officeDocument/2006/relationships/sharedStrings" Target="/xl/sharedStrings.xml" Id="R2d0d434da5d24206" /><Relationship Type="http://schemas.openxmlformats.org/officeDocument/2006/relationships/worksheet" Target="/xl/worksheets/sheet1.xml" Id="R5578b52f2dfd4b4c" /><Relationship Type="http://schemas.openxmlformats.org/officeDocument/2006/relationships/worksheet" Target="/xl/worksheets/sheet2.xml" Id="Rd1b5a0423fe549a0" /><Relationship Type="http://schemas.openxmlformats.org/officeDocument/2006/relationships/worksheet" Target="/xl/worksheets/sheet3.xml" Id="Rf7f18e84d4c3459e" /><Relationship Type="http://schemas.openxmlformats.org/officeDocument/2006/relationships/worksheet" Target="/xl/worksheets/sheet4.xml" Id="R90d76388681b49b9" /><Relationship Type="http://schemas.openxmlformats.org/officeDocument/2006/relationships/worksheet" Target="/xl/worksheets/sheet5.xml" Id="R3f7eb12a93e543d1" /><Relationship Type="http://schemas.openxmlformats.org/officeDocument/2006/relationships/worksheet" Target="/xl/worksheets/sheet6.xml" Id="R2ee652f129aa4fd8" /><Relationship Type="http://schemas.openxmlformats.org/officeDocument/2006/relationships/worksheet" Target="/xl/worksheets/sheet7.xml" Id="R6bf1c56e4e79409c" /><Relationship Type="http://schemas.openxmlformats.org/officeDocument/2006/relationships/worksheet" Target="/xl/worksheets/sheet8.xml" Id="R63b8a57dd57840b9" /><Relationship Type="http://schemas.microsoft.com/office/2017/10/relationships/person" Target="/xl/persons/person.xml" Id="R02ce8b93add545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94ac0def1a4df6" /><Relationship Type="http://schemas.openxmlformats.org/officeDocument/2006/relationships/chart" Target="/xl/drawings/charts/chart2.xml" Id="Rdc32ae4c04ef471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1fa78a20c994e0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5f7b02c52a342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Combined scenario reduces mean cycle time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Mean Cycle h</c:v>
          </c:tx>
          <c:cat>
            <c:strRef>
              <c:f>'Executive Dashboard'!$A$18:$A$21</c:f>
              <c:strCache>
                <c:ptCount val="0"/>
              </c:strCache>
            </c:strRef>
          </c:cat>
          <c:val>
            <c:numRef>
              <c:f>'Executive Dashboard'!$B$18:$B$21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Combined scenario lifts modeled SLA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SLA</c:v>
          </c:tx>
          <c:cat>
            <c:strRef>
              <c:f>'Executive Dashboard'!$D$18:$D$21</c:f>
              <c:strCache>
                <c:ptCount val="0"/>
              </c:strCache>
            </c:strRef>
          </c:cat>
          <c:val>
            <c:numRef>
              <c:f>'Executive Dashboard'!$E$18:$E$21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Goods receipt dominates wait exposure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Bottleneck Score</c:v>
          </c:tx>
          <c:cat>
            <c:strRef>
              <c:f>'Bottlenecks'!$A$6:$A$10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'Bottlenecks'!$G$6:$G$10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812 cases are high or critical risk</a:t>
            </a:r>
          </a:p>
        </c:rich>
      </c:tx>
    </c:title>
    <c:plotArea>
      <c:doughnutChart>
        <c:ser>
          <c:idx val="0"/>
          <c:order val="0"/>
          <c:tx>
            <c:v>Cases</c:v>
          </c:tx>
          <c:cat>
            <c:strRef>
              <c:f>'SLA Risk'!$A$6:$A$9</c:f>
              <c:strCache>
                <c:ptCount val="0"/>
              </c:strCache>
            </c:strRef>
          </c:cat>
          <c:val>
            <c:numRef>
              <c:f>'SLA Risk'!$B$6:$B$9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94ac0def1a4df6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32ae4c04ef47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fa78a20c994e0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f7b02c52a3426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Murat Miraç Gedik" id="{BF41E4BF-1DE1-4E43-BE6B-D8F284E64502}"/>
</xltc:personList>
</file>

<file path=xl/tables/table1.xml><?xml version="1.0" encoding="utf-8"?>
<x:table xmlns:x="http://schemas.openxmlformats.org/spreadsheetml/2006/main" id="1" name="KPIEvidenceTable" displayName="KPIEvidenceTable" ref="A5:C15" headerRowCount="1" totalsRowCount="0" totalsRowShown="0">
  <x:tableColumns count="3">
    <x:tableColumn id="1" name="Metric"/>
    <x:tableColumn id="2" name="Value"/>
    <x:tableColumn id="3" name="Definition / Vali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ttleneckTable" displayName="BottleneckTable" ref="A5:G17" headerRowCount="1" totalsRowCount="0" totalsRowShown="0">
  <x:tableColumns count="7">
    <x:tableColumn id="1" name="Activity"/>
    <x:tableColumn id="2" name="Cases"/>
    <x:tableColumn id="3" name="Total Wait h"/>
    <x:tableColumn id="4" name="Mean Wait h"/>
    <x:tableColumn id="5" name="P90 Wait h"/>
    <x:tableColumn id="6" name="Coverage"/>
    <x:tableColumn id="7" name="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essVariantTable" displayName="ProcessVariantTable" ref="A5:F19" headerRowCount="1" totalsRowCount="0" totalsRowShown="0">
  <x:tableColumns count="6">
    <x:tableColumn id="1" name="Rank"/>
    <x:tableColumn id="2" name="Variant Summary"/>
    <x:tableColumn id="3" name="Activities"/>
    <x:tableColumn id="4" name="Cases"/>
    <x:tableColumn id="5" name="Share"/>
    <x:tableColumn id="6" name="Full Activity Path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LARiskReviewTable" displayName="SLARiskReviewTable" ref="A23:G123" headerRowCount="1" totalsRowCount="0" totalsRowShown="0">
  <x:tableColumns count="7">
    <x:tableColumn id="1" name="Case ID"/>
    <x:tableColumn id="2" name="Business Unit"/>
    <x:tableColumn id="3" name="Vendor"/>
    <x:tableColumn id="4" name="Amount"/>
    <x:tableColumn id="5" name="Risk Score"/>
    <x:tableColumn id="6" name="Risk Band"/>
    <x:tableColumn id="7" name="Actual Breac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5:E21" headerRowCount="1" totalsRowCount="0" totalsRowShown="0">
  <x:tableColumns count="5">
    <x:tableColumn id="1" name="Dataset"/>
    <x:tableColumn id="2" name="Field"/>
    <x:tableColumn id="3" name="Type"/>
    <x:tableColumn id="4" name="Business Meaning"/>
    <x:tableColumn id="5" name="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28T21:23:27.777" personId="{BF41E4BF-1DE1-4E43-BE6B-D8F284E64502}" id="{18F91EFF-59DA-BFBE-0B1C-244A138599E3}">
    <xltc:text>Portfolio assumption: replace with Finance-owned delay-hour value before production use.</xltc:text>
  </xltc:threadedComment>
  <xltc:threadedComment ref="I16" dT="2026-07-28T21:23:27.777" personId="{BF41E4BF-1DE1-4E43-BE6B-D8F284E64502}" id="{DCE11879-2C8A-E902-6D0C-1CF837C531FE}">
    <xltc:text>This value is formula-driven and reconciles to the Python pipeline output in column 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faf9599df46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98c01c020e7467f" /><Relationship Type="http://schemas.openxmlformats.org/officeDocument/2006/relationships/vmlDrawing" Target="/xl/drawings/vmldrawing.vml" Id="R838fd0f92f044936" /><Relationship Type="http://schemas.microsoft.com/office/2017/10/relationships/threadedComment" Target="/xl/threadedcomments/threadedcomment.xml" Id="R141da1445904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5cdbebed98847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8b42d259eba41ef" /><Relationship Type="http://schemas.openxmlformats.org/officeDocument/2006/relationships/table" Target="/xl/tables/table2.xml" Id="R2bfa07737a3847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1ee783bded648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9da9584061774750" /><Relationship Type="http://schemas.openxmlformats.org/officeDocument/2006/relationships/table" Target="/xl/tables/table4.xml" Id="Re00adddb1dbe42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7661dc5a59642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5" t="str">
        <x:v>Enterprise Process Intelligence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8" t="str">
        <x:v>Purchase-to-Pay · Executive command center · 12,000-case synthetic benchmark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53" t="str">
        <x:v>CASES</x:v>
      </x:c>
      <x:c r="B5" s="53"/>
      <x:c r="C5" s="53"/>
      <x:c r="D5" s="93" t="str">
        <x:v>EVENTS</x:v>
      </x:c>
      <x:c r="E5" s="93"/>
      <x:c r="F5" s="93"/>
      <x:c r="G5" s="96" t="str">
        <x:v>MEDIAN CYCLE</x:v>
      </x:c>
      <x:c r="H5" s="96"/>
      <x:c r="I5" s="96"/>
      <x:c r="J5" s="126" t="str">
        <x:v>SLA ADHERENCE</x:v>
      </x:c>
      <x:c r="K5" s="126"/>
      <x:c r="L5" s="126"/>
      <x:c r="M5" s="155" t="str">
        <x:v>MODEL ROC AUC</x:v>
      </x:c>
      <x:c r="N5" s="155"/>
    </x:row>
    <x:row r="6">
      <x:c r="A6" s="82" t="n">
        <x:f>'KPI Evidence'!B6</x:f>
        <x:v>12000</x:v>
      </x:c>
      <x:c r="B6" s="83"/>
      <x:c r="C6" s="84"/>
      <x:c r="D6" s="82" t="n">
        <x:f>'KPI Evidence'!B7</x:f>
        <x:v>166551</x:v>
      </x:c>
      <x:c r="E6" s="83"/>
      <x:c r="F6" s="84"/>
      <x:c r="G6" s="115" t="n">
        <x:f>'KPI Evidence'!B8</x:f>
        <x:v>205.57</x:v>
      </x:c>
      <x:c r="H6" s="116"/>
      <x:c r="I6" s="117"/>
      <x:c r="J6" s="145" t="n">
        <x:f>'KPI Evidence'!B10</x:f>
        <x:v>0.6208</x:v>
      </x:c>
      <x:c r="K6" s="146"/>
      <x:c r="L6" s="147"/>
      <x:c r="M6" s="168" t="n">
        <x:f>'KPI Evidence'!B15</x:f>
        <x:v>0.8220036618349132</x:v>
      </x:c>
      <x:c r="N6" s="169"/>
    </x:row>
    <x:row r="7">
      <x:c r="A7" s="85"/>
      <x:c r="B7" s="86"/>
      <x:c r="C7" s="87"/>
      <x:c r="D7" s="85"/>
      <x:c r="E7" s="86"/>
      <x:c r="F7" s="87"/>
      <x:c r="G7" s="118"/>
      <x:c r="H7" s="119"/>
      <x:c r="I7" s="120"/>
      <x:c r="J7" s="148"/>
      <x:c r="K7" s="149"/>
      <x:c r="L7" s="150"/>
      <x:c r="M7" s="170"/>
      <x:c r="N7" s="171"/>
    </x:row>
    <x:row r="8">
      <x:c r="A8" s="88"/>
      <x:c r="B8" s="89"/>
      <x:c r="C8" s="90"/>
      <x:c r="D8" s="88"/>
      <x:c r="E8" s="89"/>
      <x:c r="F8" s="90"/>
      <x:c r="G8" s="121"/>
      <x:c r="H8" s="122"/>
      <x:c r="I8" s="123"/>
      <x:c r="J8" s="151"/>
      <x:c r="K8" s="152"/>
      <x:c r="L8" s="153"/>
      <x:c r="M8" s="172"/>
      <x:c r="N8" s="173"/>
    </x:row>
    <x:row r="10">
      <x:c r="A10" s="178" t="str">
        <x:v>DECISION RECOMMENDATION</x:v>
      </x:c>
      <x:c r="B10" s="179"/>
      <x:c r="C10" s="179"/>
      <x:c r="D10" s="179"/>
      <x:c r="E10" s="179"/>
      <x:c r="F10" s="179"/>
      <x:c r="G10" s="179"/>
      <x:c r="H10" s="179"/>
      <x:c r="I10" s="179"/>
      <x:c r="J10" s="179"/>
      <x:c r="K10" s="179"/>
      <x:c r="L10" s="179"/>
      <x:c r="M10" s="179"/>
      <x:c r="N10" s="180"/>
    </x:row>
    <x:row r="11">
      <x:c r="A11" s="184" t="str">
        <x:v>Implement a controlled pilot combining low-risk approval routing, targeted AP/treasury capacity, and supplier lead-time intervention. Retain human approval and payment controls.</x:v>
      </x:c>
      <x:c r="B11" s="184"/>
      <x:c r="C11" s="184"/>
      <x:c r="D11" s="184"/>
      <x:c r="E11" s="184"/>
      <x:c r="F11" s="184"/>
      <x:c r="G11" s="184"/>
      <x:c r="H11" s="184"/>
      <x:c r="I11" s="188" t="str">
        <x:v>MODELED ANNUAL VALUE</x:v>
      </x:c>
      <x:c r="J11" s="188"/>
      <x:c r="K11" s="188"/>
      <x:c r="L11" s="195" t="str">
        <x:v>FIRST-YEAR ROI</x:v>
      </x:c>
      <x:c r="M11" s="195"/>
      <x:c r="N11" s="195"/>
    </x:row>
    <x:row r="12">
      <x:c r="A12" s="184"/>
      <x:c r="B12" s="184"/>
      <x:c r="C12" s="184"/>
      <x:c r="D12" s="184"/>
      <x:c r="E12" s="184"/>
      <x:c r="F12" s="184"/>
      <x:c r="G12" s="184"/>
      <x:c r="H12" s="184"/>
      <x:c r="I12" s="188"/>
      <x:c r="J12" s="188"/>
      <x:c r="K12" s="188"/>
      <x:c r="L12" s="195"/>
      <x:c r="M12" s="195"/>
      <x:c r="N12" s="195"/>
    </x:row>
    <x:row r="13">
      <x:c r="A13" s="184"/>
      <x:c r="B13" s="184"/>
      <x:c r="C13" s="184"/>
      <x:c r="D13" s="184"/>
      <x:c r="E13" s="184"/>
      <x:c r="F13" s="184"/>
      <x:c r="G13" s="184"/>
      <x:c r="H13" s="184"/>
      <x:c r="I13" s="192" t="n">
        <x:f>'Scenario Simulator'!I16</x:f>
        <x:v>2213037.0208064</x:v>
      </x:c>
      <x:c r="J13" s="192"/>
      <x:c r="K13" s="192"/>
      <x:c r="L13" s="199" t="n">
        <x:f>'Scenario Simulator'!J16</x:f>
        <x:v>8.83572009247289</x:v>
      </x:c>
      <x:c r="M13" s="199"/>
      <x:c r="N13" s="199"/>
    </x:row>
    <x:row r="14">
      <x:c r="A14" s="184"/>
      <x:c r="B14" s="184"/>
      <x:c r="C14" s="184"/>
      <x:c r="D14" s="184"/>
      <x:c r="E14" s="184"/>
      <x:c r="F14" s="184"/>
      <x:c r="G14" s="184"/>
      <x:c r="H14" s="184"/>
      <x:c r="I14" s="192"/>
      <x:c r="J14" s="192"/>
      <x:c r="K14" s="192"/>
      <x:c r="L14" s="199"/>
      <x:c r="M14" s="199"/>
      <x:c r="N14" s="199"/>
    </x:row>
    <x:row r="17">
      <x:c r="A17" s="16" t="str">
        <x:v>Scenario</x:v>
      </x:c>
      <x:c r="B17" s="18" t="str">
        <x:v>Mean Cycle h</x:v>
      </x:c>
      <x:c r="D17" s="16" t="str">
        <x:v>Scenario</x:v>
      </x:c>
      <x:c r="E17" s="18" t="str">
        <x:v>SLA</x:v>
      </x:c>
    </x:row>
    <x:row r="18">
      <x:c r="A18" s="22" t="str">
        <x:v>Baseline</x:v>
      </x:c>
      <x:c r="B18" s="200" t="n">
        <x:v>206.6048536586</x:v>
      </x:c>
      <x:c r="D18" s="22" t="str">
        <x:v>Baseline</x:v>
      </x:c>
      <x:c r="E18" s="202" t="n">
        <x:v>0.6400462963</x:v>
      </x:c>
    </x:row>
    <x:row r="19">
      <x:c r="A19" s="23" t="str">
        <x:v>Approval Automation</x:v>
      </x:c>
      <x:c r="B19" s="201" t="n">
        <x:v>200.1196977885</x:v>
      </x:c>
      <x:c r="D19" s="23" t="str">
        <x:v>Approval Automation</x:v>
      </x:c>
      <x:c r="E19" s="203" t="n">
        <x:v>0.663287037</x:v>
      </x:c>
    </x:row>
    <x:row r="20">
      <x:c r="A20" s="23" t="str">
        <x:v>AP Capacity</x:v>
      </x:c>
      <x:c r="B20" s="201" t="n">
        <x:v>203.0352200934</x:v>
      </x:c>
      <x:c r="D20" s="23" t="str">
        <x:v>AP Capacity</x:v>
      </x:c>
      <x:c r="E20" s="203" t="n">
        <x:v>0.6521759259</x:v>
      </x:c>
    </x:row>
    <x:row r="21">
      <x:c r="A21" s="23" t="str">
        <x:v>Combined Optimization</x:v>
      </x:c>
      <x:c r="B21" s="201" t="n">
        <x:v>166.484485467</x:v>
      </x:c>
      <x:c r="D21" s="23" t="str">
        <x:v>Combined Optimization</x:v>
      </x:c>
      <x:c r="E21" s="203" t="n">
        <x:v>0.7763888889</x:v>
      </x:c>
    </x:row>
    <x:row r="32">
      <x:c r="G32" s="207" t="str">
        <x:v>Governance: all data and value estimates are synthetic. Risk scores prioritize human review and cannot approve, reject, authorize, or execute a payment.</x:v>
      </x:c>
      <x:c r="H32" s="207"/>
      <x:c r="I32" s="207"/>
      <x:c r="J32" s="207"/>
      <x:c r="K32" s="207"/>
      <x:c r="L32" s="207"/>
      <x:c r="M32" s="207"/>
      <x:c r="N32" s="207"/>
    </x:row>
    <x:row r="33">
      <x:c r="G33" s="207"/>
      <x:c r="H33" s="207"/>
      <x:c r="I33" s="207"/>
      <x:c r="J33" s="207"/>
      <x:c r="K33" s="207"/>
      <x:c r="L33" s="207"/>
      <x:c r="M33" s="207"/>
      <x:c r="N33" s="207"/>
    </x:row>
    <x:row r="34">
      <x:c r="G34" s="207"/>
      <x:c r="H34" s="207"/>
      <x:c r="I34" s="207"/>
      <x:c r="J34" s="207"/>
      <x:c r="K34" s="207"/>
      <x:c r="L34" s="207"/>
      <x:c r="M34" s="207"/>
      <x:c r="N34" s="207"/>
    </x:row>
    <x:row r="35">
      <x:c r="G35" s="207"/>
      <x:c r="H35" s="207"/>
      <x:c r="I35" s="207"/>
      <x:c r="J35" s="207"/>
      <x:c r="K35" s="207"/>
      <x:c r="L35" s="207"/>
      <x:c r="M35" s="207"/>
      <x:c r="N35" s="207"/>
    </x:row>
    <x:row r="36">
      <x:c r="G36" s="207"/>
      <x:c r="H36" s="207"/>
      <x:c r="I36" s="207"/>
      <x:c r="J36" s="207"/>
      <x:c r="K36" s="207"/>
      <x:c r="L36" s="207"/>
      <x:c r="M36" s="207"/>
      <x:c r="N36" s="207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5"/>
    <x:mergeCell ref="M6:N8"/>
    <x:mergeCell ref="A10:N10"/>
    <x:mergeCell ref="A11:H14"/>
    <x:mergeCell ref="I11:K12"/>
    <x:mergeCell ref="I13:K14"/>
    <x:mergeCell ref="L11:N12"/>
    <x:mergeCell ref="L13:N14"/>
    <x:mergeCell ref="G32:N36"/>
  </x:mergeCells>
  <x:pageMargins left="0.7" right="0.7" top="0.75" bottom="0.75" header="0.3" footer="0.3"/>
  <x:drawing xmlns:r="http://schemas.openxmlformats.org/officeDocument/2006/relationships" r:id="R775faf9599df46f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22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5" t="str">
        <x:v>Capacity Scenario Simulator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1"/>
      <x:c r="N1" s="1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A3" s="8" t="str">
        <x:v>Blue-font cells are editable assumptions · modeled outcomes are not guaranteed savings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5">
      <x:c r="A5" s="16" t="str">
        <x:v>Decision assumptions</x:v>
      </x:c>
      <x:c r="B5" s="18" t="str">
        <x:v>Input</x:v>
      </x:c>
      <x:c r="D5" s="16" t="str">
        <x:v>Selected scenario</x:v>
      </x:c>
      <x:c r="E5" s="17" t="str">
        <x:v>Decision output</x:v>
      </x:c>
      <x:c r="F5" s="18" t="str">
        <x:v>Value</x:v>
      </x:c>
    </x:row>
    <x:row r="6">
      <x:c r="A6" s="22" t="str">
        <x:v>Annual case volume</x:v>
      </x:c>
      <x:c r="B6" s="31" t="n">
        <x:v>8000</x:v>
      </x:c>
      <x:c r="D6" s="22" t="str">
        <x:v>Scenario</x:v>
      </x:c>
      <x:c r="E6" s="34" t="str">
        <x:v>Combined Optimization</x:v>
      </x:c>
      <x:c r="F6" s="22"/>
    </x:row>
    <x:row r="7">
      <x:c r="A7" s="23" t="str">
        <x:v>Delay-hour value (USD)</x:v>
      </x:c>
      <x:c r="B7" s="32" t="n">
        <x:v>5.5</x:v>
      </x:c>
      <x:c r="D7" s="23" t="str">
        <x:v>Mean cycle hours</x:v>
      </x:c>
      <x:c r="E7" s="23"/>
      <x:c r="F7" s="26" t="n">
        <x:f>INDEX($B$13:$B$16,MATCH($E$6,$A$13:$A$16,0))</x:f>
        <x:v>166.484485467</x:v>
      </x:c>
    </x:row>
    <x:row r="8">
      <x:c r="A8" s="23" t="str">
        <x:v>Manual-hour value (USD)</x:v>
      </x:c>
      <x:c r="B8" s="32" t="n">
        <x:v>32</x:v>
      </x:c>
      <x:c r="D8" s="23" t="str">
        <x:v>SLA adherence</x:v>
      </x:c>
      <x:c r="E8" s="23"/>
      <x:c r="F8" s="27" t="n">
        <x:f>INDEX($C$13:$C$16,MATCH($E$6,$A$13:$A$16,0))</x:f>
        <x:v>0.7763888889</x:v>
      </x:c>
    </x:row>
    <x:row r="9">
      <x:c r="A9" s="23" t="str">
        <x:v>Avoided breach value (USD)</x:v>
      </x:c>
      <x:c r="B9" s="32" t="n">
        <x:v>85</x:v>
      </x:c>
      <x:c r="D9" s="23" t="str">
        <x:v>First-year ROI</x:v>
      </x:c>
      <x:c r="E9" s="23"/>
      <x:c r="F9" s="35" t="n">
        <x:f>INDEX($J$13:$J$16,MATCH($E$6,$A$13:$A$16,0))</x:f>
        <x:v>8.83572009247289</x:v>
      </x:c>
    </x:row>
    <x:row r="12">
      <x:c r="A12" s="16" t="str">
        <x:v>Scenario</x:v>
      </x:c>
      <x:c r="B12" s="17" t="str">
        <x:v>Mean Cycle h</x:v>
      </x:c>
      <x:c r="C12" s="17" t="str">
        <x:v>SLA</x:v>
      </x:c>
      <x:c r="D12" s="17" t="str">
        <x:v>Manual h / Case</x:v>
      </x:c>
      <x:c r="E12" s="17" t="str">
        <x:v>Investment</x:v>
      </x:c>
      <x:c r="F12" s="17" t="str">
        <x:v>Cycle h Saved</x:v>
      </x:c>
      <x:c r="G12" s="17" t="str">
        <x:v>SLA Uplift</x:v>
      </x:c>
      <x:c r="H12" s="17" t="str">
        <x:v>Manual h Saved</x:v>
      </x:c>
      <x:c r="I12" s="17" t="str">
        <x:v>Recalculated Value</x:v>
      </x:c>
      <x:c r="J12" s="17" t="str">
        <x:v>First-Year ROI</x:v>
      </x:c>
      <x:c r="K12" s="17" t="str">
        <x:v>Pipeline Value</x:v>
      </x:c>
      <x:c r="L12" s="18" t="str">
        <x:v>Variance</x:v>
      </x:c>
    </x:row>
    <x:row r="13">
      <x:c r="A13" s="22" t="str">
        <x:v>Baseline</x:v>
      </x:c>
      <x:c r="B13" s="41" t="n">
        <x:v>206.6048536586</x:v>
      </x:c>
      <x:c r="C13" s="42" t="n">
        <x:v>0.6400462963</x:v>
      </x:c>
      <x:c r="D13" s="41" t="n">
        <x:v>7.2099168402</x:v>
      </x:c>
      <x:c r="E13" s="43" t="n">
        <x:v>0</x:v>
      </x:c>
      <x:c r="F13" s="36" t="n">
        <x:f>MAX(0,$B$13-B13)</x:f>
        <x:v>0</x:v>
      </x:c>
      <x:c r="G13" s="37" t="n">
        <x:f>MAX(0,C13-$C$13)</x:f>
        <x:v>0</x:v>
      </x:c>
      <x:c r="H13" s="36" t="n">
        <x:f>MAX(0,$D$13-D13)</x:f>
        <x:v>0</x:v>
      </x:c>
      <x:c r="I13" s="38" t="n">
        <x:f>F13*$B$7*$B$6+H13*$B$8*$B$6+G13*$B$9*$B$6</x:f>
        <x:v>0</x:v>
      </x:c>
      <x:c r="J13" s="40" t="n">
        <x:f>IF(E13=0,0,(I13-E13)/E13)</x:f>
        <x:v>0</x:v>
      </x:c>
      <x:c r="K13" s="38" t="n">
        <x:v>0</x:v>
      </x:c>
      <x:c r="L13" s="38" t="n">
        <x:f>I13-K13</x:f>
        <x:v>0</x:v>
      </x:c>
    </x:row>
    <x:row r="14">
      <x:c r="A14" s="23" t="str">
        <x:v>Approval Automation</x:v>
      </x:c>
      <x:c r="B14" s="44" t="n">
        <x:v>200.1196977885</x:v>
      </x:c>
      <x:c r="C14" s="45" t="n">
        <x:v>0.663287037</x:v>
      </x:c>
      <x:c r="D14" s="44" t="n">
        <x:v>6.2787534702</x:v>
      </x:c>
      <x:c r="E14" s="46" t="n">
        <x:v>95000</x:v>
      </x:c>
      <x:c r="F14" s="26" t="n">
        <x:f>MAX(0,$B$13-B14)</x:f>
        <x:v>6.485155870100016</x:v>
      </x:c>
      <x:c r="G14" s="27" t="n">
        <x:f>MAX(0,C14-$C$13)</x:f>
        <x:v>0.02324074070000004</x:v>
      </x:c>
      <x:c r="H14" s="26" t="n">
        <x:f>MAX(0,$D$13-D14)</x:f>
        <x:v>0.9311633700000002</x:v>
      </x:c>
      <x:c r="I14" s="39" t="n">
        <x:f>F14*$B$7*$B$6+H14*$B$8*$B$6+G14*$B$9*$B$6</x:f>
        <x:v>539528.3846804008</x:v>
      </x:c>
      <x:c r="J14" s="35" t="n">
        <x:f>IF(E14=0,0,(I14-E14)/E14)</x:f>
        <x:v>4.679246154530535</x:v>
      </x:c>
      <x:c r="K14" s="39" t="n">
        <x:v>539528.384697785</x:v>
      </x:c>
      <x:c r="L14" s="39" t="n">
        <x:f>I14-K14</x:f>
        <x:v>-0.00001738418359309435</x:v>
      </x:c>
    </x:row>
    <x:row r="15">
      <x:c r="A15" s="23" t="str">
        <x:v>AP Capacity</x:v>
      </x:c>
      <x:c r="B15" s="44" t="n">
        <x:v>203.0352200934</x:v>
      </x:c>
      <x:c r="C15" s="45" t="n">
        <x:v>0.6521759259</x:v>
      </x:c>
      <x:c r="D15" s="44" t="n">
        <x:v>7.1319467429</x:v>
      </x:c>
      <x:c r="E15" s="46" t="n">
        <x:v>150000</x:v>
      </x:c>
      <x:c r="F15" s="26" t="n">
        <x:f>MAX(0,$B$13-B15)</x:f>
        <x:v>3.5696335652000073</x:v>
      </x:c>
      <x:c r="G15" s="27" t="n">
        <x:f>MAX(0,C15-$C$13)</x:f>
        <x:v>0.01212962959999997</x:v>
      </x:c>
      <x:c r="H15" s="26" t="n">
        <x:f>MAX(0,$D$13-D15)</x:f>
        <x:v>0.07797009729999971</x:v>
      </x:c>
      <x:c r="I15" s="39" t="n">
        <x:f>F15*$B$7*$B$6+H15*$B$8*$B$6+G15*$B$9*$B$6</x:f>
        <x:v>185272.3699056002</x:v>
      </x:c>
      <x:c r="J15" s="35" t="n">
        <x:f>IF(E15=0,0,(I15-E15)/E15)</x:f>
        <x:v>0.2351491327040014</x:v>
      </x:c>
      <x:c r="K15" s="39" t="n">
        <x:v>185272.3699284395</x:v>
      </x:c>
      <x:c r="L15" s="39" t="n">
        <x:f>I15-K15</x:f>
        <x:v>-0.000022839289158582687</x:v>
      </x:c>
    </x:row>
    <x:row r="16">
      <x:c r="A16" s="23" t="str">
        <x:v>Combined Optimization</x:v>
      </x:c>
      <x:c r="B16" s="44" t="n">
        <x:v>166.484485467</x:v>
      </x:c>
      <x:c r="C16" s="45" t="n">
        <x:v>0.7763888889</x:v>
      </x:c>
      <x:c r="D16" s="44" t="n">
        <x:v>5.8230892722</x:v>
      </x:c>
      <x:c r="E16" s="46" t="n">
        <x:v>225000</x:v>
      </x:c>
      <x:c r="F16" s="26" t="n">
        <x:f>MAX(0,$B$13-B16)</x:f>
        <x:v>40.120368191599994</x:v>
      </x:c>
      <x:c r="G16" s="27" t="n">
        <x:f>MAX(0,C16-$C$13)</x:f>
        <x:v>0.13634259260000003</x:v>
      </x:c>
      <x:c r="H16" s="26" t="n">
        <x:f>MAX(0,$D$13-D16)</x:f>
        <x:v>1.3868275680000002</x:v>
      </x:c>
      <x:c r="I16" s="39" t="n">
        <x:f>F16*$B$7*$B$6+H16*$B$8*$B$6+G16*$B$9*$B$6</x:f>
        <x:v>2213037.0208064</x:v>
      </x:c>
      <x:c r="J16" s="35" t="n">
        <x:f>IF(E16=0,0,(I16-E16)/E16)</x:f>
        <x:v>8.83572009247289</x:v>
      </x:c>
      <x:c r="K16" s="39" t="n">
        <x:v>2213037.020799549</x:v>
      </x:c>
      <x:c r="L16" s="39" t="n">
        <x:f>I16-K16</x:f>
        <x:v>0.000006851274520158768</x:v>
      </x:c>
    </x:row>
    <x:row r="18">
      <x:c r="A18" s="50" t="str">
        <x:v>Formula: annual value = cycle hours saved × delay-hour value × annual volume + manual hours saved × labor value × annual volume + SLA uplift × avoided-breach value × annual volume.</x:v>
      </x:c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</x:row>
  </x:sheetData>
  <x:mergeCells>
    <x:mergeCell ref="A1:L2"/>
    <x:mergeCell ref="A3:L3"/>
    <x:mergeCell ref="A18:L18"/>
    <x:mergeCell ref="A19:L19"/>
    <x:mergeCell ref="A20:L20"/>
  </x:mergeCells>
  <x:conditionalFormatting sqref="I13:J16">
    <x:cfRule type="colorScale" priority="1">
      <x:colorScale>
        <x:cfvo type="min"/>
        <x:cfvo type="percentile" val="50"/>
        <x:cfvo type="max"/>
        <x:color rgb="FFFFF1F1"/>
        <x:color rgb="FFFFF7E6"/>
        <x:color rgb="FFEAF8F3"/>
      </x:colorScale>
    </x:cfRule>
  </x:conditionalFormatting>
  <x:conditionalFormatting sqref="L13:L16">
    <x:cfRule type="cellIs" dxfId="0" priority="2" operator="notEqual">
      <x:formula>0</x:formula>
    </x:cfRule>
  </x:conditionalFormatting>
  <x:dataValidations count="1">
    <x:dataValidation type="list" sqref="E6">
      <x:formula1>"Baseline,Approval Automation,AP Capacity,Combined Optimization"</x:formula1>
    </x:dataValidation>
  </x:dataValidations>
  <x:pageMargins left="0.7" right="0.7" top="0.75" bottom="0.75" header="0.3" footer="0.3"/>
  <x:legacyDrawing xmlns:r="http://schemas.openxmlformats.org/officeDocument/2006/relationships" r:id="R838fd0f92f04493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58" hidden="0" customWidth="1"/>
  </x:cols>
  <x:sheetData>
    <x:row r="1" ht="28" customHeight="1">
      <x:c r="A1" s="5" t="str">
        <x:v>KPI Evidence</x:v>
      </x:c>
      <x:c r="B1" s="5"/>
      <x:c r="C1" s="5"/>
      <x:c r="D1" s="5"/>
      <x:c r="E1" s="5"/>
      <x:c r="F1" s="5"/>
      <x:c r="G1" s="5"/>
      <x:c r="H1" s="5"/>
      <x:c r="I1" s="1"/>
      <x:c r="J1" s="1"/>
      <x:c r="K1" s="1"/>
      <x:c r="L1" s="1"/>
      <x:c r="M1" s="1"/>
      <x:c r="N1" s="1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>
      <x:c r="A3" s="8" t="str">
        <x:v>Pipeline-derived benchmark values · source: reports/demo-analysis.json</x:v>
      </x:c>
      <x:c r="B3" s="8"/>
      <x:c r="C3" s="8"/>
      <x:c r="D3" s="8"/>
      <x:c r="E3" s="8"/>
      <x:c r="F3" s="8"/>
      <x:c r="G3" s="8"/>
      <x:c r="H3" s="8"/>
    </x:row>
    <x:row r="5" ht="25" customHeight="1">
      <x:c r="A5" s="16" t="str">
        <x:v>Metric</x:v>
      </x:c>
      <x:c r="B5" s="17" t="str">
        <x:v>Value</x:v>
      </x:c>
      <x:c r="C5" s="18" t="str">
        <x:v>Definition / Validation</x:v>
      </x:c>
    </x:row>
    <x:row r="6" ht="25" customHeight="1">
      <x:c r="A6" s="22" t="str">
        <x:v>Cases</x:v>
      </x:c>
      <x:c r="B6" s="24" t="n">
        <x:v>12000</x:v>
      </x:c>
      <x:c r="C6" s="22" t="str">
        <x:v>Distinct Purchase-to-Pay case IDs</x:v>
      </x:c>
    </x:row>
    <x:row r="7" ht="25" customHeight="1">
      <x:c r="A7" s="23" t="str">
        <x:v>Events</x:v>
      </x:c>
      <x:c r="B7" s="25" t="n">
        <x:v>166551</x:v>
      </x:c>
      <x:c r="C7" s="23" t="str">
        <x:v>Validated event rows</x:v>
      </x:c>
    </x:row>
    <x:row r="8" ht="25" customHeight="1">
      <x:c r="A8" s="23" t="str">
        <x:v>Median Cycle Hours</x:v>
      </x:c>
      <x:c r="B8" s="26" t="n">
        <x:v>205.57</x:v>
      </x:c>
      <x:c r="C8" s="23" t="str">
        <x:v>Median completed_at − created_at</x:v>
      </x:c>
    </x:row>
    <x:row r="9" ht="25" customHeight="1">
      <x:c r="A9" s="23" t="str">
        <x:v>P90 Cycle Hours</x:v>
      </x:c>
      <x:c r="B9" s="26" t="n">
        <x:v>307.54</x:v>
      </x:c>
      <x:c r="C9" s="23" t="str">
        <x:v>90th percentile of case cycle time</x:v>
      </x:c>
    </x:row>
    <x:row r="10" ht="25" customHeight="1">
      <x:c r="A10" s="23" t="str">
        <x:v>SLA Adherence</x:v>
      </x:c>
      <x:c r="B10" s="27" t="n">
        <x:v>0.6208</x:v>
      </x:c>
      <x:c r="C10" s="23" t="str">
        <x:v>1 − breached cases / cases</x:v>
      </x:c>
    </x:row>
    <x:row r="11" ht="25" customHeight="1">
      <x:c r="A11" s="23" t="str">
        <x:v>Straight-Through Rate</x:v>
      </x:c>
      <x:c r="B11" s="27" t="n">
        <x:v>0.4232</x:v>
      </x:c>
      <x:c r="C11" s="23" t="str">
        <x:v>Exact match with 13-step ideal path</x:v>
      </x:c>
    </x:row>
    <x:row r="12" ht="25" customHeight="1">
      <x:c r="A12" s="23" t="str">
        <x:v>Conformance Fitness</x:v>
      </x:c>
      <x:c r="B12" s="27" t="n">
        <x:v>0.9162</x:v>
      </x:c>
      <x:c r="C12" s="23" t="str">
        <x:v>Mean normalized edit-distance fitness</x:v>
      </x:c>
    </x:row>
    <x:row r="13" ht="25" customHeight="1">
      <x:c r="A13" s="23" t="str">
        <x:v>Rework Case Rate</x:v>
      </x:c>
      <x:c r="B13" s="27" t="n">
        <x:v>0.2198</x:v>
      </x:c>
      <x:c r="C13" s="23" t="str">
        <x:v>Cases with at least one repeated activity</x:v>
      </x:c>
    </x:row>
    <x:row r="14" ht="25" customHeight="1">
      <x:c r="A14" s="23" t="str">
        <x:v>Automation Event Rate</x:v>
      </x:c>
      <x:c r="B14" s="27" t="n">
        <x:v>0.3647</x:v>
      </x:c>
      <x:c r="C14" s="23" t="str">
        <x:v>Automated events / all events</x:v>
      </x:c>
    </x:row>
    <x:row r="15" ht="25" customHeight="1">
      <x:c r="A15" s="23" t="str">
        <x:v>SLA Model ROC AUC</x:v>
      </x:c>
      <x:c r="B15" s="28" t="n">
        <x:v>0.8220036618349132</x:v>
      </x:c>
      <x:c r="C15" s="23" t="str">
        <x:v>Latest 20% temporal holdout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5cdbebed98847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5" t="str">
        <x:v>Bottlenecks &amp; Rework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1"/>
      <x:c r="L1" s="1"/>
      <x:c r="M1" s="1"/>
      <x:c r="N1" s="1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8" t="str">
        <x:v>Ranked by 55% total wait, 30% p90 wait, and 15% case coverage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16" t="str">
        <x:v>Activity</x:v>
      </x:c>
      <x:c r="B5" s="17" t="str">
        <x:v>Cases</x:v>
      </x:c>
      <x:c r="C5" s="17" t="str">
        <x:v>Total Wait h</x:v>
      </x:c>
      <x:c r="D5" s="17" t="str">
        <x:v>Mean Wait h</x:v>
      </x:c>
      <x:c r="E5" s="17" t="str">
        <x:v>P90 Wait h</x:v>
      </x:c>
      <x:c r="F5" s="17" t="str">
        <x:v>Coverage</x:v>
      </x:c>
      <x:c r="G5" s="18" t="str">
        <x:v>Score</x:v>
      </x:c>
    </x:row>
    <x:row r="6">
      <x:c r="A6" s="22" t="str">
        <x:v>Goods Received</x:v>
      </x:c>
      <x:c r="B6" s="24" t="n">
        <x:v>12000</x:v>
      </x:c>
      <x:c r="C6" s="24" t="n">
        <x:v>865100.2425</x:v>
      </x:c>
      <x:c r="D6" s="36" t="n">
        <x:v>72.09168687500001</x:v>
      </x:c>
      <x:c r="E6" s="36" t="n">
        <x:v>120.18008333333333</x:v>
      </x:c>
      <x:c r="F6" s="37" t="n">
        <x:v>1</x:v>
      </x:c>
      <x:c r="G6" s="208" t="n">
        <x:v>0.9241859786271567</x:v>
      </x:c>
    </x:row>
    <x:row r="7">
      <x:c r="A7" s="23" t="str">
        <x:v>Invoice Received</x:v>
      </x:c>
      <x:c r="B7" s="25" t="n">
        <x:v>12000</x:v>
      </x:c>
      <x:c r="C7" s="25" t="n">
        <x:v>348031.5563888889</x:v>
      </x:c>
      <x:c r="D7" s="26" t="n">
        <x:v>29.002629699074078</x:v>
      </x:c>
      <x:c r="E7" s="26" t="n">
        <x:v>45.7935</x:v>
      </x:c>
      <x:c r="F7" s="27" t="n">
        <x:v>1</x:v>
      </x:c>
      <x:c r="G7" s="28" t="n">
        <x:v>0.45669007561134545</x:v>
      </x:c>
    </x:row>
    <x:row r="8">
      <x:c r="A8" s="23" t="str">
        <x:v>Delivery Delayed</x:v>
      </x:c>
      <x:c r="B8" s="25" t="n">
        <x:v>1551</x:v>
      </x:c>
      <x:c r="C8" s="25" t="n">
        <x:v>155821.00305555554</x:v>
      </x:c>
      <x:c r="D8" s="26" t="n">
        <x:v>100.46486334981014</x:v>
      </x:c>
      <x:c r="E8" s="26" t="n">
        <x:v>160.82194444444445</x:v>
      </x:c>
      <x:c r="F8" s="27" t="n">
        <x:v>0.12925</x:v>
      </x:c>
      <x:c r="G8" s="28" t="n">
        <x:v>0.41845295793224135</x:v>
      </x:c>
    </x:row>
    <x:row r="9">
      <x:c r="A9" s="23" t="str">
        <x:v>Payment Executed</x:v>
      </x:c>
      <x:c r="B9" s="25" t="n">
        <x:v>12000</x:v>
      </x:c>
      <x:c r="C9" s="25" t="n">
        <x:v>253050.5875</x:v>
      </x:c>
      <x:c r="D9" s="26" t="n">
        <x:v>21.087548958333333</x:v>
      </x:c>
      <x:c r="E9" s="26" t="n">
        <x:v>33.525305555555555</x:v>
      </x:c>
      <x:c r="F9" s="27" t="n">
        <x:v>1</x:v>
      </x:c>
      <x:c r="G9" s="28" t="n">
        <x:v>0.3734192506504495</x:v>
      </x:c>
    </x:row>
    <x:row r="10">
      <x:c r="A10" s="23" t="str">
        <x:v>Payment Authorized</x:v>
      </x:c>
      <x:c r="B10" s="25" t="n">
        <x:v>12000</x:v>
      </x:c>
      <x:c r="C10" s="25" t="n">
        <x:v>177330.82361111112</x:v>
      </x:c>
      <x:c r="D10" s="26" t="n">
        <x:v>14.035999969218864</x:v>
      </x:c>
      <x:c r="E10" s="26" t="n">
        <x:v>22.67600000000001</x:v>
      </x:c>
      <x:c r="F10" s="27" t="n">
        <x:v>1</x:v>
      </x:c>
      <x:c r="G10" s="28" t="n">
        <x:v>0.3050408350912135</x:v>
      </x:c>
    </x:row>
    <x:row r="11">
      <x:c r="A11" s="23" t="str">
        <x:v>Manager Approval</x:v>
      </x:c>
      <x:c r="B11" s="25" t="n">
        <x:v>10464</x:v>
      </x:c>
      <x:c r="C11" s="25" t="n">
        <x:v>166426.90722222222</x:v>
      </x:c>
      <x:c r="D11" s="26" t="n">
        <x:v>14.196614110912071</x:v>
      </x:c>
      <x:c r="E11" s="26" t="n">
        <x:v>22.79255555555556</x:v>
      </x:c>
      <x:c r="F11" s="27" t="n">
        <x:v>0.872</x:v>
      </x:c>
      <x:c r="G11" s="28" t="n">
        <x:v>0.2791259371542846</x:v>
      </x:c>
    </x:row>
    <x:row r="12">
      <x:c r="A12" s="23" t="str">
        <x:v>Procurement Review</x:v>
      </x:c>
      <x:c r="B12" s="25" t="n">
        <x:v>12000</x:v>
      </x:c>
      <x:c r="C12" s="25" t="n">
        <x:v>145027.2925</x:v>
      </x:c>
      <x:c r="D12" s="26" t="n">
        <x:v>12.085607708333335</x:v>
      </x:c>
      <x:c r="E12" s="26" t="n">
        <x:v>19.389833333333332</x:v>
      </x:c>
      <x:c r="F12" s="27" t="n">
        <x:v>1</x:v>
      </x:c>
      <x:c r="G12" s="28" t="n">
        <x:v>0.278373326262803</x:v>
      </x:c>
    </x:row>
    <x:row r="13">
      <x:c r="A13" s="23" t="str">
        <x:v>Supplier Confirmation</x:v>
      </x:c>
      <x:c r="B13" s="25" t="n">
        <x:v>12000</x:v>
      </x:c>
      <x:c r="C13" s="25" t="n">
        <x:v>138535.8088888889</x:v>
      </x:c>
      <x:c r="D13" s="26" t="n">
        <x:v>11.54465074074074</x:v>
      </x:c>
      <x:c r="E13" s="26" t="n">
        <x:v>19.189916666666672</x:v>
      </x:c>
      <x:c r="F13" s="27" t="n">
        <x:v>1</x:v>
      </x:c>
      <x:c r="G13" s="28" t="n">
        <x:v>0.27387334364195115</x:v>
      </x:c>
    </x:row>
    <x:row r="14">
      <x:c r="A14" s="23" t="str">
        <x:v>Invoice Matched</x:v>
      </x:c>
      <x:c r="B14" s="25" t="n">
        <x:v>12000</x:v>
      </x:c>
      <x:c r="C14" s="25" t="n">
        <x:v>114351.51444444444</x:v>
      </x:c>
      <x:c r="D14" s="26" t="n">
        <x:v>9.051093433943679</x:v>
      </x:c>
      <x:c r="E14" s="26" t="n">
        <x:v>14.610722222222225</x:v>
      </x:c>
      <x:c r="F14" s="27" t="n">
        <x:v>1</x:v>
      </x:c>
      <x:c r="G14" s="28" t="n">
        <x:v>0.24995572095083332</x:v>
      </x:c>
    </x:row>
    <x:row r="15">
      <x:c r="A15" s="23" t="str">
        <x:v>Purchase Order Created</x:v>
      </x:c>
      <x:c r="B15" s="25" t="n">
        <x:v>12000</x:v>
      </x:c>
      <x:c r="C15" s="25" t="n">
        <x:v>80384.91638888889</x:v>
      </x:c>
      <x:c r="D15" s="26" t="n">
        <x:v>6.698743032407407</x:v>
      </x:c>
      <x:c r="E15" s="26" t="n">
        <x:v>10.672805555555556</x:v>
      </x:c>
      <x:c r="F15" s="27" t="n">
        <x:v>1</x:v>
      </x:c>
      <x:c r="G15" s="28" t="n">
        <x:v>0.22101510766871046</x:v>
      </x:c>
    </x:row>
    <x:row r="16">
      <x:c r="A16" s="23" t="str">
        <x:v>Case Closed</x:v>
      </x:c>
      <x:c r="B16" s="25" t="n">
        <x:v>12000</x:v>
      </x:c>
      <x:c r="C16" s="25" t="n">
        <x:v>23044.375555555554</x:v>
      </x:c>
      <x:c r="D16" s="26" t="n">
        <x:v>1.9203646296296295</x:v>
      </x:c>
      <x:c r="E16" s="26" t="n">
        <x:v>3.044722222222222</x:v>
      </x:c>
      <x:c r="F16" s="27" t="n">
        <x:v>1</x:v>
      </x:c>
      <x:c r="G16" s="28" t="n">
        <x:v>0.17033047208616747</x:v>
      </x:c>
    </x:row>
    <x:row r="17">
      <x:c r="A17" s="23" t="str">
        <x:v>Purchase Order Sent</x:v>
      </x:c>
      <x:c r="B17" s="25" t="n">
        <x:v>12000</x:v>
      </x:c>
      <x:c r="C17" s="25" t="n">
        <x:v>4616.087222222222</x:v>
      </x:c>
      <x:c r="D17" s="26" t="n">
        <x:v>0.3846739351851852</x:v>
      </x:c>
      <x:c r="E17" s="26" t="n">
        <x:v>0.6055833333333334</x:v>
      </x:c>
      <x:c r="F17" s="27" t="n">
        <x:v>1</x:v>
      </x:c>
      <x:c r="G17" s="28" t="n">
        <x:v>0.15406440974722269</x:v>
      </x:c>
    </x:row>
  </x:sheetData>
  <x:mergeCells>
    <x:mergeCell ref="A1:J2"/>
    <x:mergeCell ref="A3:J3"/>
  </x:mergeCells>
  <x:conditionalFormatting sqref="G6:G17">
    <x:cfRule type="dataBar" priority="1">
      <x:dataBar>
        <x:cfvo type="min"/>
        <x:cfvo type="max"/>
        <x:color rgb="FF165DFF"/>
      </x:dataBar>
      <x:extLst>
        <x:ext xmlns:x14="http://schemas.microsoft.com/office/spreadsheetml/2009/9/main" uri="{B025F937-C7B1-47D3-B67F-A62EFF666E3E}">
          <x14:id>{CC3F04FA-8604-C82C-CCC2-DC2C77B7EFC9}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8b42d259eba41ef"/>
  <x:tableParts count="1">
    <x:tablePart xmlns:r="http://schemas.openxmlformats.org/officeDocument/2006/relationships" r:id="R2bfa07737a3847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C3F04FA-8604-C82C-CCC2-DC2C77B7EFC9}">
            <x14:dataBar gradient="1">
              <x14:cfvo type="min"/>
              <x14:cfvo type="max"/>
              <x14:fillColor rgb="FF165DFF"/>
            </x14:dataBar>
          </x14:cfRule>
          <xm:sqref>G6:G17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85" hidden="0" customWidth="1"/>
  </x:cols>
  <x:sheetData>
    <x:row r="1" ht="28" customHeight="1">
      <x:c r="A1" s="5" t="str">
        <x:v>Process Variants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5"/>
      <x:c r="B2" s="5"/>
      <x:c r="C2" s="5"/>
      <x:c r="D2" s="5"/>
      <x:c r="E2" s="5"/>
      <x:c r="F2" s="5"/>
    </x:row>
    <x:row r="3" ht="24" customHeight="1">
      <x:c r="A3" s="8" t="str">
        <x:v>14 discovered traces · reference path accounts for 42.32% of cases</x:v>
      </x:c>
      <x:c r="B3" s="8"/>
      <x:c r="C3" s="8"/>
      <x:c r="D3" s="8"/>
      <x:c r="E3" s="8"/>
      <x:c r="F3" s="8"/>
    </x:row>
    <x:row r="5">
      <x:c r="A5" s="16" t="str">
        <x:v>Rank</x:v>
      </x:c>
      <x:c r="B5" s="17" t="str">
        <x:v>Variant Summary</x:v>
      </x:c>
      <x:c r="C5" s="17" t="str">
        <x:v>Activities</x:v>
      </x:c>
      <x:c r="D5" s="17" t="str">
        <x:v>Cases</x:v>
      </x:c>
      <x:c r="E5" s="17" t="str">
        <x:v>Share</x:v>
      </x:c>
      <x:c r="F5" s="18" t="str">
        <x:v>Full Activity Path</x:v>
      </x:c>
    </x:row>
    <x:row r="6" ht="64" customHeight="1">
      <x:c r="A6" s="22" t="n">
        <x:v>1</x:v>
      </x:c>
      <x:c r="B6" s="22" t="str">
        <x:v>Reference / happy path</x:v>
      </x:c>
      <x:c r="C6" s="22" t="n">
        <x:v>13</x:v>
      </x:c>
      <x:c r="D6" s="24" t="n">
        <x:v>5078</x:v>
      </x:c>
      <x:c r="E6" s="37" t="n">
        <x:v>0.4231666666666667</x:v>
      </x:c>
      <x:c r="F6" s="209" t="str">
        <x:v>Purchase Request Created &gt; Manager Approval &gt; Procurement Review &gt; Purchase Order Created &gt; Purchase Order Sent &gt; Supplier Confirmation &gt; Goods Received &gt; Invoice Received &gt; Invoice Duplicate Check &gt; Invoice Matched &gt; Payment Authorized &gt; Payment Executed &gt; Case Closed</x:v>
      </x:c>
    </x:row>
    <x:row r="7" ht="64" customHeight="1">
      <x:c r="A7" s="23" t="n">
        <x:v>2</x:v>
      </x:c>
      <x:c r="B7" s="23" t="str">
        <x:v>Missing approval / fast track</x:v>
      </x:c>
      <x:c r="C7" s="23" t="n">
        <x:v>12</x:v>
      </x:c>
      <x:c r="D7" s="25" t="n">
        <x:v>1325</x:v>
      </x:c>
      <x:c r="E7" s="27" t="n">
        <x:v>0.11041666666666666</x:v>
      </x:c>
      <x:c r="F7" s="210" t="str">
        <x:v>Purchase Request Created &gt; Procurement Review &gt; Purchase Order Created &gt; Purchase Order Sent &gt; Supplier Confirmation &gt; Goods Received &gt; Invoice Received &gt; Invoice Duplicate Check &gt; Invoice Matched &gt; Payment Authorized &gt; Payment Executed &gt; Case Closed</x:v>
      </x:c>
    </x:row>
    <x:row r="8" ht="64" customHeight="1">
      <x:c r="A8" s="23" t="n">
        <x:v>3</x:v>
      </x:c>
      <x:c r="B8" s="23" t="str">
        <x:v>Approval rework</x:v>
      </x:c>
      <x:c r="C8" s="23" t="n">
        <x:v>15</x:v>
      </x:c>
      <x:c r="D8" s="25" t="n">
        <x:v>1108</x:v>
      </x:c>
      <x:c r="E8" s="27" t="n">
        <x:v>0.09233333333333334</x:v>
      </x:c>
      <x:c r="F8" s="210" t="str">
        <x:v>Purchase Request Created &gt; Manager Approval &gt; Request Reworked &gt; Manager Approval &gt; Procurement Review &gt; Purchase Order Created &gt; Purchase Order Sent &gt; Supplier Confirmation &gt; Goods Received &gt; Invoice Received &gt; Invoice Duplicate Check &gt; Invoice Matched &gt; Payment Authorized &gt; Payment Executed &gt; Case Closed</x:v>
      </x:c>
    </x:row>
    <x:row r="9" ht="64" customHeight="1">
      <x:c r="A9" s="23" t="n">
        <x:v>4</x:v>
      </x:c>
      <x:c r="B9" s="23" t="str">
        <x:v>Invoice discrepancy</x:v>
      </x:c>
      <x:c r="C9" s="23" t="n">
        <x:v>15</x:v>
      </x:c>
      <x:c r="D9" s="25" t="n">
        <x:v>987</x:v>
      </x:c>
      <x:c r="E9" s="27" t="n">
        <x:v>0.08225</x:v>
      </x:c>
      <x:c r="F9" s="210" t="str">
        <x:v>Purchase Request Created &gt; Manager Approval &gt; Procurement Review &gt; Purchase Order Created &gt; Purchase Order Sent &gt; Supplier Confirmation &gt; Goods Received &gt; Invoice Received &gt; Invoice Duplicate Check &gt; Invoice Blocked &gt; Invoice Corrected &gt; Invoice Matched &gt; Payment Authorized &gt; Payment Executed &gt; Case Closed</x:v>
      </x:c>
    </x:row>
    <x:row r="10" ht="64" customHeight="1">
      <x:c r="A10" s="23" t="n">
        <x:v>5</x:v>
      </x:c>
      <x:c r="B10" s="23" t="str">
        <x:v>Late delivery</x:v>
      </x:c>
      <x:c r="C10" s="23" t="n">
        <x:v>14</x:v>
      </x:c>
      <x:c r="D10" s="25" t="n">
        <x:v>768</x:v>
      </x:c>
      <x:c r="E10" s="27" t="n">
        <x:v>0.064</x:v>
      </x:c>
      <x:c r="F10" s="210" t="str">
        <x:v>Purchase Request Created &gt; Manager Approval &gt; Procurement Review &gt; Purchase Order Created &gt; Purchase Order Sent &gt; Supplier Confirmation &gt; Delivery Delayed &gt; Goods Received &gt; Invoice Received &gt; Invoice Duplicate Check &gt; Invoice Matched &gt; Payment Authorized &gt; Payment Executed &gt; Case Closed</x:v>
      </x:c>
    </x:row>
    <x:row r="11" ht="64" customHeight="1">
      <x:c r="A11" s="23" t="n">
        <x:v>6</x:v>
      </x:c>
      <x:c r="B11" s="23" t="str">
        <x:v>Three-way match failure</x:v>
      </x:c>
      <x:c r="C11" s="23" t="n">
        <x:v>14</x:v>
      </x:c>
      <x:c r="D11" s="25" t="n">
        <x:v>738</x:v>
      </x:c>
      <x:c r="E11" s="27" t="n">
        <x:v>0.0615</x:v>
      </x:c>
      <x:c r="F11" s="210" t="str">
        <x:v>Purchase Request Created &gt; Manager Approval &gt; Procurement Review &gt; Purchase Order Created &gt; Purchase Order Sent &gt; Supplier Confirmation &gt; Invoice Received &gt; Invoice Duplicate Check &gt; Three-Way Match Failed &gt; Goods Received &gt; Invoice Matched &gt; Payment Authorized &gt; Payment Executed &gt; Case Closed</x:v>
      </x:c>
    </x:row>
    <x:row r="12" ht="64" customHeight="1">
      <x:c r="A12" s="23" t="n">
        <x:v>7</x:v>
      </x:c>
      <x:c r="B12" s="23" t="str">
        <x:v>Duplicate invoice</x:v>
      </x:c>
      <x:c r="C12" s="23" t="n">
        <x:v>17</x:v>
      </x:c>
      <x:c r="D12" s="25" t="n">
        <x:v>650</x:v>
      </x:c>
      <x:c r="E12" s="27" t="n">
        <x:v>0.05416666666666667</x:v>
      </x:c>
      <x:c r="F12" s="210" t="str">
        <x:v>Purchase Request Created &gt; Manager Approval &gt; Procurement Review &gt; Purchase Order Created &gt; Purchase Order Sent &gt; Supplier Confirmation &gt; Goods Received &gt; Invoice Received &gt; Invoice Duplicate Check &gt; Duplicate Check Failed &gt; Invoice Rejected &gt; Corrected Invoice Received &gt; Invoice Duplicate Check &gt; Invoice Matched &gt; Payment Authorized &gt; Payment Executed &gt; Case Closed</x:v>
      </x:c>
    </x:row>
    <x:row r="13" ht="64" customHeight="1">
      <x:c r="A13" s="23" t="n">
        <x:v>8</x:v>
      </x:c>
      <x:c r="B13" s="23" t="str">
        <x:v>Payment rework</x:v>
      </x:c>
      <x:c r="C13" s="23" t="n">
        <x:v>16</x:v>
      </x:c>
      <x:c r="D13" s="25" t="n">
        <x:v>563</x:v>
      </x:c>
      <x:c r="E13" s="27" t="n">
        <x:v>0.04691666666666667</x:v>
      </x:c>
      <x:c r="F13" s="210" t="str">
        <x:v>Purchase Request Created &gt; Manager Approval &gt; Procurement Review &gt; Purchase Order Created &gt; Purchase Order Sent &gt; Supplier Confirmation &gt; Goods Received &gt; Invoice Received &gt; Invoice Duplicate Check &gt; Invoice Matched &gt; Payment Authorized &gt; Payment Rejected &gt; Invoice Matched &gt; Payment Authorized &gt; Payment Executed &gt; Case Closed</x:v>
      </x:c>
    </x:row>
    <x:row r="14" ht="64" customHeight="1">
      <x:c r="A14" s="23" t="n">
        <x:v>9</x:v>
      </x:c>
      <x:c r="B14" s="23" t="str">
        <x:v>Missing approval / fast track + late delivery</x:v>
      </x:c>
      <x:c r="C14" s="23" t="n">
        <x:v>13</x:v>
      </x:c>
      <x:c r="D14" s="25" t="n">
        <x:v>211</x:v>
      </x:c>
      <x:c r="E14" s="27" t="n">
        <x:v>0.017583333333333333</x:v>
      </x:c>
      <x:c r="F14" s="210" t="str">
        <x:v>Purchase Request Created &gt; Procurement Review &gt; Purchase Order Created &gt; Purchase Order Sent &gt; Supplier Confirmation &gt; Delivery Delayed &gt; Goods Received &gt; Invoice Received &gt; Invoice Duplicate Check &gt; Invoice Matched &gt; Payment Authorized &gt; Payment Executed &gt; Case Closed</x:v>
      </x:c>
    </x:row>
    <x:row r="15" ht="64" customHeight="1">
      <x:c r="A15" s="23" t="n">
        <x:v>10</x:v>
      </x:c>
      <x:c r="B15" s="23" t="str">
        <x:v>Invoice discrepancy + late delivery</x:v>
      </x:c>
      <x:c r="C15" s="23" t="n">
        <x:v>16</x:v>
      </x:c>
      <x:c r="D15" s="25" t="n">
        <x:v>172</x:v>
      </x:c>
      <x:c r="E15" s="27" t="n">
        <x:v>0.014333333333333333</x:v>
      </x:c>
      <x:c r="F15" s="210" t="str">
        <x:v>Purchase Request Created &gt; Manager Approval &gt; Procurement Review &gt; Purchase Order Created &gt; Purchase Order Sent &gt; Supplier Confirmation &gt; Delivery Delayed &gt; Goods Received &gt; Invoice Received &gt; Invoice Duplicate Check &gt; Invoice Blocked &gt; Invoice Corrected &gt; Invoice Matched &gt; Payment Authorized &gt; Payment Executed &gt; Case Closed</x:v>
      </x:c>
    </x:row>
    <x:row r="16" ht="64" customHeight="1">
      <x:c r="A16" s="23" t="n">
        <x:v>11</x:v>
      </x:c>
      <x:c r="B16" s="23" t="str">
        <x:v>Approval rework + late delivery</x:v>
      </x:c>
      <x:c r="C16" s="23" t="n">
        <x:v>16</x:v>
      </x:c>
      <x:c r="D16" s="25" t="n">
        <x:v>151</x:v>
      </x:c>
      <x:c r="E16" s="27" t="n">
        <x:v>0.012583333333333334</x:v>
      </x:c>
      <x:c r="F16" s="210" t="str">
        <x:v>Purchase Request Created &gt; Manager Approval &gt; Request Reworked &gt; Manager Approval &gt; Procurement Review &gt; Purchase Order Created &gt; Purchase Order Sent &gt; Supplier Confirmation &gt; Delivery Delayed &gt; Goods Received &gt; Invoice Received &gt; Invoice Duplicate Check &gt; Invoice Matched &gt; Payment Authorized &gt; Payment Executed &gt; Case Closed</x:v>
      </x:c>
    </x:row>
    <x:row r="17" ht="64" customHeight="1">
      <x:c r="A17" s="23" t="n">
        <x:v>12</x:v>
      </x:c>
      <x:c r="B17" s="23" t="str">
        <x:v>Duplicate invoice + late delivery</x:v>
      </x:c>
      <x:c r="C17" s="23" t="n">
        <x:v>18</x:v>
      </x:c>
      <x:c r="D17" s="25" t="n">
        <x:v>94</x:v>
      </x:c>
      <x:c r="E17" s="27" t="n">
        <x:v>0.007833333333333333</x:v>
      </x:c>
      <x:c r="F17" s="210" t="str">
        <x:v>Purchase Request Created &gt; Manager Approval &gt; Procurement Review &gt; Purchase Order Created &gt; Purchase Order Sent &gt; Supplier Confirmation &gt; Delivery Delayed &gt; Goods Received &gt; Invoice Received &gt; Invoice Duplicate Check &gt; Duplicate Check Failed &gt; Invoice Rejected &gt; Corrected Invoice Received &gt; Invoice Duplicate Check &gt; Invoice Matched &gt; Payment Authorized &gt; Payment Executed &gt; Case Closed</x:v>
      </x:c>
    </x:row>
    <x:row r="18" ht="64" customHeight="1">
      <x:c r="A18" s="23" t="n">
        <x:v>13</x:v>
      </x:c>
      <x:c r="B18" s="23" t="str">
        <x:v>Three-way match failure + late delivery</x:v>
      </x:c>
      <x:c r="C18" s="23" t="n">
        <x:v>15</x:v>
      </x:c>
      <x:c r="D18" s="25" t="n">
        <x:v>84</x:v>
      </x:c>
      <x:c r="E18" s="27" t="n">
        <x:v>0.007</x:v>
      </x:c>
      <x:c r="F18" s="210" t="str">
        <x:v>Purchase Request Created &gt; Manager Approval &gt; Procurement Review &gt; Purchase Order Created &gt; Purchase Order Sent &gt; Supplier Confirmation &gt; Delivery Delayed &gt; Invoice Received &gt; Invoice Duplicate Check &gt; Three-Way Match Failed &gt; Goods Received &gt; Invoice Matched &gt; Payment Authorized &gt; Payment Executed &gt; Case Closed</x:v>
      </x:c>
    </x:row>
    <x:row r="19" ht="64" customHeight="1">
      <x:c r="A19" s="23" t="n">
        <x:v>14</x:v>
      </x:c>
      <x:c r="B19" s="23" t="str">
        <x:v>Payment rework + late delivery</x:v>
      </x:c>
      <x:c r="C19" s="23" t="n">
        <x:v>17</x:v>
      </x:c>
      <x:c r="D19" s="25" t="n">
        <x:v>71</x:v>
      </x:c>
      <x:c r="E19" s="27" t="n">
        <x:v>0.005916666666666666</x:v>
      </x:c>
      <x:c r="F19" s="210" t="str">
        <x:v>Purchase Request Created &gt; Manager Approval &gt; Procurement Review &gt; Purchase Order Created &gt; Purchase Order Sent &gt; Supplier Confirmation &gt; Delivery Delayed &gt; Goods Received &gt; Invoice Received &gt; Invoice Duplicate Check &gt; Invoice Matched &gt; Payment Authorized &gt; Payment Rejected &gt; Invoice Matched &gt; Payment Authorized &gt; Payment Executed &gt; Case Closed</x:v>
      </x:c>
    </x:row>
  </x:sheetData>
  <x:mergeCells>
    <x:mergeCell ref="A1:F2"/>
    <x:mergeCell ref="A3:F3"/>
  </x:mergeCells>
  <x:conditionalFormatting sqref="E6:E19">
    <x:cfRule type="dataBar" priority="1">
      <x:dataBar>
        <x:cfvo type="min"/>
        <x:cfvo type="max"/>
        <x:color rgb="FF7C3AED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1ee783bded648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5" t="str">
        <x:v>SLA Risk Review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1"/>
      <x:c r="M1" s="1"/>
      <x:c r="N1" s="1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4" customHeight="1">
      <x:c r="A3" s="8" t="str">
        <x:v>Temporal holdout scoring · human review queue · no autonomous decision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>
      <x:c r="A5" s="16" t="str">
        <x:v>Risk Band</x:v>
      </x:c>
      <x:c r="B5" s="17" t="str">
        <x:v>Cases</x:v>
      </x:c>
      <x:c r="C5" s="18" t="str">
        <x:v>Share</x:v>
      </x:c>
    </x:row>
    <x:row r="6">
      <x:c r="A6" s="22" t="str">
        <x:v>Low</x:v>
      </x:c>
      <x:c r="B6" s="24" t="n">
        <x:v>880</x:v>
      </x:c>
      <x:c r="C6" s="37" t="n">
        <x:v>0.3667</x:v>
      </x:c>
    </x:row>
    <x:row r="7">
      <x:c r="A7" s="23" t="str">
        <x:v>Medium</x:v>
      </x:c>
      <x:c r="B7" s="25" t="n">
        <x:v>708</x:v>
      </x:c>
      <x:c r="C7" s="27" t="n">
        <x:v>0.295</x:v>
      </x:c>
    </x:row>
    <x:row r="8">
      <x:c r="A8" s="23" t="str">
        <x:v>High</x:v>
      </x:c>
      <x:c r="B8" s="25" t="n">
        <x:v>446</x:v>
      </x:c>
      <x:c r="C8" s="27" t="n">
        <x:v>0.1858</x:v>
      </x:c>
    </x:row>
    <x:row r="9">
      <x:c r="A9" s="23" t="str">
        <x:v>Critical</x:v>
      </x:c>
      <x:c r="B9" s="25" t="n">
        <x:v>366</x:v>
      </x:c>
      <x:c r="C9" s="27" t="n">
        <x:v>0.1525</x:v>
      </x:c>
    </x:row>
    <x:row r="12">
      <x:c r="A12" s="16" t="str">
        <x:v>Model Driver</x:v>
      </x:c>
      <x:c r="B12" s="17" t="str">
        <x:v>Coefficient</x:v>
      </x:c>
      <x:c r="C12" s="17" t="str">
        <x:v>Importance</x:v>
      </x:c>
      <x:c r="D12" s="18" t="str">
        <x:v>Direction</x:v>
      </x:c>
    </x:row>
    <x:row r="13">
      <x:c r="A13" s="22" t="str">
        <x:v>priority_Urgent</x:v>
      </x:c>
      <x:c r="B13" s="208" t="n">
        <x:v>2.3773871282669896</x:v>
      </x:c>
      <x:c r="C13" s="208" t="n">
        <x:v>2.3773871282669896</x:v>
      </x:c>
      <x:c r="D13" s="22" t="str">
        <x:v>higher_risk</x:v>
      </x:c>
    </x:row>
    <x:row r="14">
      <x:c r="A14" s="23" t="str">
        <x:v>priority_Strategic</x:v>
      </x:c>
      <x:c r="B14" s="28" t="n">
        <x:v>-1.9813836466241515</x:v>
      </x:c>
      <x:c r="C14" s="28" t="n">
        <x:v>1.9813836466241515</x:v>
      </x:c>
      <x:c r="D14" s="23" t="str">
        <x:v>lower_risk</x:v>
      </x:c>
    </x:row>
    <x:row r="15">
      <x:c r="A15" s="23" t="str">
        <x:v>vendor_tier_C</x:v>
      </x:c>
      <x:c r="B15" s="28" t="n">
        <x:v>1.3482770810289233</x:v>
      </x:c>
      <x:c r="C15" s="28" t="n">
        <x:v>1.3482770810289233</x:v>
      </x:c>
      <x:c r="D15" s="23" t="str">
        <x:v>higher_risk</x:v>
      </x:c>
    </x:row>
    <x:row r="16">
      <x:c r="A16" s="23" t="str">
        <x:v>vendor_tier_A</x:v>
      </x:c>
      <x:c r="B16" s="28" t="n">
        <x:v>-1.0810894518879848</x:v>
      </x:c>
      <x:c r="C16" s="28" t="n">
        <x:v>1.0810894518879848</x:v>
      </x:c>
      <x:c r="D16" s="23" t="str">
        <x:v>lower_risk</x:v>
      </x:c>
    </x:row>
    <x:row r="17">
      <x:c r="A17" s="23" t="str">
        <x:v>elapsed_to_po_hours</x:v>
      </x:c>
      <x:c r="B17" s="28" t="n">
        <x:v>0.5170010903755644</x:v>
      </x:c>
      <x:c r="C17" s="28" t="n">
        <x:v>0.5170010903755644</x:v>
      </x:c>
      <x:c r="D17" s="23" t="str">
        <x:v>higher_risk</x:v>
      </x:c>
    </x:row>
    <x:row r="18">
      <x:c r="A18" s="23" t="str">
        <x:v>priority_Standard</x:v>
      </x:c>
      <x:c r="B18" s="28" t="n">
        <x:v>-0.37558219072085075</x:v>
      </x:c>
      <x:c r="C18" s="28" t="n">
        <x:v>0.37558219072085075</x:v>
      </x:c>
      <x:c r="D18" s="23" t="str">
        <x:v>lower_risk</x:v>
      </x:c>
    </x:row>
    <x:row r="19">
      <x:c r="A19" s="23" t="str">
        <x:v>early_rework_count</x:v>
      </x:c>
      <x:c r="B19" s="28" t="n">
        <x:v>-0.2811352860879885</x:v>
      </x:c>
      <x:c r="C19" s="28" t="n">
        <x:v>0.2811352860879885</x:v>
      </x:c>
      <x:c r="D19" s="23" t="str">
        <x:v>lower_risk</x:v>
      </x:c>
    </x:row>
    <x:row r="20">
      <x:c r="A20" s="23" t="str">
        <x:v>vendor_tier_B</x:v>
      </x:c>
      <x:c r="B20" s="28" t="n">
        <x:v>-0.24676633821896832</x:v>
      </x:c>
      <x:c r="C20" s="28" t="n">
        <x:v>0.24676633821896832</x:v>
      </x:c>
      <x:c r="D20" s="23" t="str">
        <x:v>lower_risk</x:v>
      </x:c>
    </x:row>
    <x:row r="23">
      <x:c r="A23" s="16" t="str">
        <x:v>Case ID</x:v>
      </x:c>
      <x:c r="B23" s="17" t="str">
        <x:v>Business Unit</x:v>
      </x:c>
      <x:c r="C23" s="17" t="str">
        <x:v>Vendor</x:v>
      </x:c>
      <x:c r="D23" s="17" t="str">
        <x:v>Amount</x:v>
      </x:c>
      <x:c r="E23" s="17" t="str">
        <x:v>Risk Score</x:v>
      </x:c>
      <x:c r="F23" s="17" t="str">
        <x:v>Risk Band</x:v>
      </x:c>
      <x:c r="G23" s="18" t="str">
        <x:v>Actual Breach</x:v>
      </x:c>
    </x:row>
    <x:row r="24">
      <x:c r="A24" s="22" t="str">
        <x:v>P2P-008966</x:v>
      </x:c>
      <x:c r="B24" s="22" t="str">
        <x:v>Industrial Systems</x:v>
      </x:c>
      <x:c r="C24" s="22" t="str">
        <x:v>V-070</x:v>
      </x:c>
      <x:c r="D24" s="38" t="n">
        <x:v>20193.49</x:v>
      </x:c>
      <x:c r="E24" s="37" t="n">
        <x:v>0.9896935163260117</x:v>
      </x:c>
      <x:c r="F24" s="22" t="str">
        <x:v>Critical</x:v>
      </x:c>
      <x:c r="G24" s="215" t="b">
        <x:v>1</x:v>
      </x:c>
    </x:row>
    <x:row r="25">
      <x:c r="A25" s="23" t="str">
        <x:v>P2P-009687</x:v>
      </x:c>
      <x:c r="B25" s="23" t="str">
        <x:v>Consumer Products</x:v>
      </x:c>
      <x:c r="C25" s="23" t="str">
        <x:v>V-064</x:v>
      </x:c>
      <x:c r="D25" s="39" t="n">
        <x:v>16861.79</x:v>
      </x:c>
      <x:c r="E25" s="27" t="n">
        <x:v>0.9866861208780224</x:v>
      </x:c>
      <x:c r="F25" s="23" t="str">
        <x:v>Critical</x:v>
      </x:c>
      <x:c r="G25" s="216" t="b">
        <x:v>1</x:v>
      </x:c>
    </x:row>
    <x:row r="26">
      <x:c r="A26" s="23" t="str">
        <x:v>P2P-005900</x:v>
      </x:c>
      <x:c r="B26" s="23" t="str">
        <x:v>Industrial Systems</x:v>
      </x:c>
      <x:c r="C26" s="23" t="str">
        <x:v>V-065</x:v>
      </x:c>
      <x:c r="D26" s="39" t="n">
        <x:v>20490.34</x:v>
      </x:c>
      <x:c r="E26" s="27" t="n">
        <x:v>0.985998205547554</x:v>
      </x:c>
      <x:c r="F26" s="23" t="str">
        <x:v>Critical</x:v>
      </x:c>
      <x:c r="G26" s="216" t="b">
        <x:v>1</x:v>
      </x:c>
    </x:row>
    <x:row r="27">
      <x:c r="A27" s="23" t="str">
        <x:v>P2P-011195</x:v>
      </x:c>
      <x:c r="B27" s="23" t="str">
        <x:v>Industrial Systems</x:v>
      </x:c>
      <x:c r="C27" s="23" t="str">
        <x:v>V-066</x:v>
      </x:c>
      <x:c r="D27" s="39" t="n">
        <x:v>8882.44</x:v>
      </x:c>
      <x:c r="E27" s="27" t="n">
        <x:v>0.9808144815795287</x:v>
      </x:c>
      <x:c r="F27" s="23" t="str">
        <x:v>Critical</x:v>
      </x:c>
      <x:c r="G27" s="216" t="b">
        <x:v>1</x:v>
      </x:c>
    </x:row>
    <x:row r="28">
      <x:c r="A28" s="23" t="str">
        <x:v>P2P-001474</x:v>
      </x:c>
      <x:c r="B28" s="23" t="str">
        <x:v>Consumer Products</x:v>
      </x:c>
      <x:c r="C28" s="23" t="str">
        <x:v>V-066</x:v>
      </x:c>
      <x:c r="D28" s="39" t="n">
        <x:v>29962.52</x:v>
      </x:c>
      <x:c r="E28" s="27" t="n">
        <x:v>0.9806516759209417</x:v>
      </x:c>
      <x:c r="F28" s="23" t="str">
        <x:v>Critical</x:v>
      </x:c>
      <x:c r="G28" s="216" t="b">
        <x:v>1</x:v>
      </x:c>
    </x:row>
    <x:row r="29">
      <x:c r="A29" s="23" t="str">
        <x:v>P2P-009411</x:v>
      </x:c>
      <x:c r="B29" s="23" t="str">
        <x:v>Industrial Systems</x:v>
      </x:c>
      <x:c r="C29" s="23" t="str">
        <x:v>V-073</x:v>
      </x:c>
      <x:c r="D29" s="39" t="n">
        <x:v>10822.29</x:v>
      </x:c>
      <x:c r="E29" s="27" t="n">
        <x:v>0.9803301568942062</x:v>
      </x:c>
      <x:c r="F29" s="23" t="str">
        <x:v>Critical</x:v>
      </x:c>
      <x:c r="G29" s="216" t="b">
        <x:v>1</x:v>
      </x:c>
    </x:row>
    <x:row r="30">
      <x:c r="A30" s="23" t="str">
        <x:v>P2P-010380</x:v>
      </x:c>
      <x:c r="B30" s="23" t="str">
        <x:v>Industrial Systems</x:v>
      </x:c>
      <x:c r="C30" s="23" t="str">
        <x:v>V-080</x:v>
      </x:c>
      <x:c r="D30" s="39" t="n">
        <x:v>4894.96</x:v>
      </x:c>
      <x:c r="E30" s="27" t="n">
        <x:v>0.979969425065631</x:v>
      </x:c>
      <x:c r="F30" s="23" t="str">
        <x:v>Critical</x:v>
      </x:c>
      <x:c r="G30" s="216" t="b">
        <x:v>1</x:v>
      </x:c>
    </x:row>
    <x:row r="31">
      <x:c r="A31" s="23" t="str">
        <x:v>P2P-010576</x:v>
      </x:c>
      <x:c r="B31" s="23" t="str">
        <x:v>Corporate Services</x:v>
      </x:c>
      <x:c r="C31" s="23" t="str">
        <x:v>V-061</x:v>
      </x:c>
      <x:c r="D31" s="39" t="n">
        <x:v>46941.33</x:v>
      </x:c>
      <x:c r="E31" s="27" t="n">
        <x:v>0.979709899326122</x:v>
      </x:c>
      <x:c r="F31" s="23" t="str">
        <x:v>Critical</x:v>
      </x:c>
      <x:c r="G31" s="216" t="b">
        <x:v>1</x:v>
      </x:c>
    </x:row>
    <x:row r="32">
      <x:c r="A32" s="23" t="str">
        <x:v>P2P-009409</x:v>
      </x:c>
      <x:c r="B32" s="23" t="str">
        <x:v>Corporate Services</x:v>
      </x:c>
      <x:c r="C32" s="23" t="str">
        <x:v>V-063</x:v>
      </x:c>
      <x:c r="D32" s="39" t="n">
        <x:v>82804.98</x:v>
      </x:c>
      <x:c r="E32" s="27" t="n">
        <x:v>0.979029381093636</x:v>
      </x:c>
      <x:c r="F32" s="23" t="str">
        <x:v>Critical</x:v>
      </x:c>
      <x:c r="G32" s="216" t="b">
        <x:v>1</x:v>
      </x:c>
    </x:row>
    <x:row r="33">
      <x:c r="A33" s="23" t="str">
        <x:v>P2P-008269</x:v>
      </x:c>
      <x:c r="B33" s="23" t="str">
        <x:v>Corporate Services</x:v>
      </x:c>
      <x:c r="C33" s="23" t="str">
        <x:v>V-068</x:v>
      </x:c>
      <x:c r="D33" s="39" t="n">
        <x:v>20155.98</x:v>
      </x:c>
      <x:c r="E33" s="27" t="n">
        <x:v>0.9788599867284016</x:v>
      </x:c>
      <x:c r="F33" s="23" t="str">
        <x:v>Critical</x:v>
      </x:c>
      <x:c r="G33" s="216" t="b">
        <x:v>1</x:v>
      </x:c>
    </x:row>
    <x:row r="34">
      <x:c r="A34" s="23" t="str">
        <x:v>P2P-009541</x:v>
      </x:c>
      <x:c r="B34" s="23" t="str">
        <x:v>Consumer Products</x:v>
      </x:c>
      <x:c r="C34" s="23" t="str">
        <x:v>V-075</x:v>
      </x:c>
      <x:c r="D34" s="39" t="n">
        <x:v>27081.87</x:v>
      </x:c>
      <x:c r="E34" s="27" t="n">
        <x:v>0.9778504560809681</x:v>
      </x:c>
      <x:c r="F34" s="23" t="str">
        <x:v>Critical</x:v>
      </x:c>
      <x:c r="G34" s="216" t="b">
        <x:v>1</x:v>
      </x:c>
    </x:row>
    <x:row r="35">
      <x:c r="A35" s="23" t="str">
        <x:v>P2P-005996</x:v>
      </x:c>
      <x:c r="B35" s="23" t="str">
        <x:v>Consumer Products</x:v>
      </x:c>
      <x:c r="C35" s="23" t="str">
        <x:v>V-066</x:v>
      </x:c>
      <x:c r="D35" s="39" t="n">
        <x:v>2740.27</x:v>
      </x:c>
      <x:c r="E35" s="27" t="n">
        <x:v>0.9762303647681373</x:v>
      </x:c>
      <x:c r="F35" s="23" t="str">
        <x:v>Critical</x:v>
      </x:c>
      <x:c r="G35" s="216" t="b">
        <x:v>1</x:v>
      </x:c>
    </x:row>
    <x:row r="36">
      <x:c r="A36" s="23" t="str">
        <x:v>P2P-009948</x:v>
      </x:c>
      <x:c r="B36" s="23" t="str">
        <x:v>Industrial Systems</x:v>
      </x:c>
      <x:c r="C36" s="23" t="str">
        <x:v>V-080</x:v>
      </x:c>
      <x:c r="D36" s="39" t="n">
        <x:v>166858.46</x:v>
      </x:c>
      <x:c r="E36" s="27" t="n">
        <x:v>0.9760950655072506</x:v>
      </x:c>
      <x:c r="F36" s="23" t="str">
        <x:v>Critical</x:v>
      </x:c>
      <x:c r="G36" s="216" t="b">
        <x:v>1</x:v>
      </x:c>
    </x:row>
    <x:row r="37">
      <x:c r="A37" s="23" t="str">
        <x:v>P2P-003233</x:v>
      </x:c>
      <x:c r="B37" s="23" t="str">
        <x:v>Industrial Systems</x:v>
      </x:c>
      <x:c r="C37" s="23" t="str">
        <x:v>V-071</x:v>
      </x:c>
      <x:c r="D37" s="39" t="n">
        <x:v>9420.17</x:v>
      </x:c>
      <x:c r="E37" s="27" t="n">
        <x:v>0.9760760962738687</x:v>
      </x:c>
      <x:c r="F37" s="23" t="str">
        <x:v>Critical</x:v>
      </x:c>
      <x:c r="G37" s="216" t="b">
        <x:v>1</x:v>
      </x:c>
    </x:row>
    <x:row r="38">
      <x:c r="A38" s="23" t="str">
        <x:v>P2P-000833</x:v>
      </x:c>
      <x:c r="B38" s="23" t="str">
        <x:v>Corporate Services</x:v>
      </x:c>
      <x:c r="C38" s="23" t="str">
        <x:v>V-073</x:v>
      </x:c>
      <x:c r="D38" s="39" t="n">
        <x:v>24536.21</x:v>
      </x:c>
      <x:c r="E38" s="27" t="n">
        <x:v>0.9753682740881914</x:v>
      </x:c>
      <x:c r="F38" s="23" t="str">
        <x:v>Critical</x:v>
      </x:c>
      <x:c r="G38" s="216" t="b">
        <x:v>1</x:v>
      </x:c>
    </x:row>
    <x:row r="39">
      <x:c r="A39" s="23" t="str">
        <x:v>P2P-003377</x:v>
      </x:c>
      <x:c r="B39" s="23" t="str">
        <x:v>Corporate Services</x:v>
      </x:c>
      <x:c r="C39" s="23" t="str">
        <x:v>V-079</x:v>
      </x:c>
      <x:c r="D39" s="39" t="n">
        <x:v>13175.5</x:v>
      </x:c>
      <x:c r="E39" s="27" t="n">
        <x:v>0.9752964282743941</x:v>
      </x:c>
      <x:c r="F39" s="23" t="str">
        <x:v>Critical</x:v>
      </x:c>
      <x:c r="G39" s="216" t="b">
        <x:v>1</x:v>
      </x:c>
    </x:row>
    <x:row r="40">
      <x:c r="A40" s="23" t="str">
        <x:v>P2P-005645</x:v>
      </x:c>
      <x:c r="B40" s="23" t="str">
        <x:v>Consumer Products</x:v>
      </x:c>
      <x:c r="C40" s="23" t="str">
        <x:v>V-065</x:v>
      </x:c>
      <x:c r="D40" s="39" t="n">
        <x:v>16038.7</x:v>
      </x:c>
      <x:c r="E40" s="27" t="n">
        <x:v>0.9750076245514785</x:v>
      </x:c>
      <x:c r="F40" s="23" t="str">
        <x:v>Critical</x:v>
      </x:c>
      <x:c r="G40" s="216" t="b">
        <x:v>1</x:v>
      </x:c>
    </x:row>
    <x:row r="41">
      <x:c r="A41" s="23" t="str">
        <x:v>P2P-011338</x:v>
      </x:c>
      <x:c r="B41" s="23" t="str">
        <x:v>Consumer Products</x:v>
      </x:c>
      <x:c r="C41" s="23" t="str">
        <x:v>V-067</x:v>
      </x:c>
      <x:c r="D41" s="39" t="n">
        <x:v>90160.46</x:v>
      </x:c>
      <x:c r="E41" s="27" t="n">
        <x:v>0.9745071655696725</x:v>
      </x:c>
      <x:c r="F41" s="23" t="str">
        <x:v>Critical</x:v>
      </x:c>
      <x:c r="G41" s="216" t="b">
        <x:v>1</x:v>
      </x:c>
    </x:row>
    <x:row r="42">
      <x:c r="A42" s="23" t="str">
        <x:v>P2P-011609</x:v>
      </x:c>
      <x:c r="B42" s="23" t="str">
        <x:v>Industrial Systems</x:v>
      </x:c>
      <x:c r="C42" s="23" t="str">
        <x:v>V-078</x:v>
      </x:c>
      <x:c r="D42" s="39" t="n">
        <x:v>4238.78</x:v>
      </x:c>
      <x:c r="E42" s="27" t="n">
        <x:v>0.9744285888637112</x:v>
      </x:c>
      <x:c r="F42" s="23" t="str">
        <x:v>Critical</x:v>
      </x:c>
      <x:c r="G42" s="216" t="b">
        <x:v>1</x:v>
      </x:c>
    </x:row>
    <x:row r="43">
      <x:c r="A43" s="23" t="str">
        <x:v>P2P-011542</x:v>
      </x:c>
      <x:c r="B43" s="23" t="str">
        <x:v>Corporate Services</x:v>
      </x:c>
      <x:c r="C43" s="23" t="str">
        <x:v>V-075</x:v>
      </x:c>
      <x:c r="D43" s="39" t="n">
        <x:v>53686.93</x:v>
      </x:c>
      <x:c r="E43" s="27" t="n">
        <x:v>0.9738471507578704</x:v>
      </x:c>
      <x:c r="F43" s="23" t="str">
        <x:v>Critical</x:v>
      </x:c>
      <x:c r="G43" s="216" t="b">
        <x:v>1</x:v>
      </x:c>
    </x:row>
    <x:row r="44">
      <x:c r="A44" s="23" t="str">
        <x:v>P2P-002731</x:v>
      </x:c>
      <x:c r="B44" s="23" t="str">
        <x:v>Consumer Products</x:v>
      </x:c>
      <x:c r="C44" s="23" t="str">
        <x:v>V-068</x:v>
      </x:c>
      <x:c r="D44" s="39" t="n">
        <x:v>63424.44</x:v>
      </x:c>
      <x:c r="E44" s="27" t="n">
        <x:v>0.9737129077634409</x:v>
      </x:c>
      <x:c r="F44" s="23" t="str">
        <x:v>Critical</x:v>
      </x:c>
      <x:c r="G44" s="216" t="b">
        <x:v>1</x:v>
      </x:c>
    </x:row>
    <x:row r="45">
      <x:c r="A45" s="23" t="str">
        <x:v>P2P-008748</x:v>
      </x:c>
      <x:c r="B45" s="23" t="str">
        <x:v>Consumer Products</x:v>
      </x:c>
      <x:c r="C45" s="23" t="str">
        <x:v>V-072</x:v>
      </x:c>
      <x:c r="D45" s="39" t="n">
        <x:v>19051.7</x:v>
      </x:c>
      <x:c r="E45" s="27" t="n">
        <x:v>0.9734620655942915</x:v>
      </x:c>
      <x:c r="F45" s="23" t="str">
        <x:v>Critical</x:v>
      </x:c>
      <x:c r="G45" s="216" t="b">
        <x:v>1</x:v>
      </x:c>
    </x:row>
    <x:row r="46">
      <x:c r="A46" s="23" t="str">
        <x:v>P2P-003198</x:v>
      </x:c>
      <x:c r="B46" s="23" t="str">
        <x:v>Industrial Systems</x:v>
      </x:c>
      <x:c r="C46" s="23" t="str">
        <x:v>V-060</x:v>
      </x:c>
      <x:c r="D46" s="39" t="n">
        <x:v>7563.04</x:v>
      </x:c>
      <x:c r="E46" s="27" t="n">
        <x:v>0.9718091330987171</x:v>
      </x:c>
      <x:c r="F46" s="23" t="str">
        <x:v>Critical</x:v>
      </x:c>
      <x:c r="G46" s="216" t="b">
        <x:v>1</x:v>
      </x:c>
    </x:row>
    <x:row r="47">
      <x:c r="A47" s="23" t="str">
        <x:v>P2P-000623</x:v>
      </x:c>
      <x:c r="B47" s="23" t="str">
        <x:v>Industrial Systems</x:v>
      </x:c>
      <x:c r="C47" s="23" t="str">
        <x:v>V-074</x:v>
      </x:c>
      <x:c r="D47" s="39" t="n">
        <x:v>8718.08</x:v>
      </x:c>
      <x:c r="E47" s="27" t="n">
        <x:v>0.9714560672635425</x:v>
      </x:c>
      <x:c r="F47" s="23" t="str">
        <x:v>Critical</x:v>
      </x:c>
      <x:c r="G47" s="216" t="b">
        <x:v>1</x:v>
      </x:c>
    </x:row>
    <x:row r="48">
      <x:c r="A48" s="23" t="str">
        <x:v>P2P-011882</x:v>
      </x:c>
      <x:c r="B48" s="23" t="str">
        <x:v>Industrial Systems</x:v>
      </x:c>
      <x:c r="C48" s="23" t="str">
        <x:v>V-076</x:v>
      </x:c>
      <x:c r="D48" s="39" t="n">
        <x:v>57202.17</x:v>
      </x:c>
      <x:c r="E48" s="27" t="n">
        <x:v>0.9712562879401726</x:v>
      </x:c>
      <x:c r="F48" s="23" t="str">
        <x:v>Critical</x:v>
      </x:c>
      <x:c r="G48" s="216" t="b">
        <x:v>1</x:v>
      </x:c>
    </x:row>
    <x:row r="49">
      <x:c r="A49" s="23" t="str">
        <x:v>P2P-000764</x:v>
      </x:c>
      <x:c r="B49" s="23" t="str">
        <x:v>Consumer Products</x:v>
      </x:c>
      <x:c r="C49" s="23" t="str">
        <x:v>V-075</x:v>
      </x:c>
      <x:c r="D49" s="39" t="n">
        <x:v>13407.01</x:v>
      </x:c>
      <x:c r="E49" s="27" t="n">
        <x:v>0.9712385551162803</x:v>
      </x:c>
      <x:c r="F49" s="23" t="str">
        <x:v>Critical</x:v>
      </x:c>
      <x:c r="G49" s="216" t="b">
        <x:v>1</x:v>
      </x:c>
    </x:row>
    <x:row r="50">
      <x:c r="A50" s="23" t="str">
        <x:v>P2P-003085</x:v>
      </x:c>
      <x:c r="B50" s="23" t="str">
        <x:v>Consumer Products</x:v>
      </x:c>
      <x:c r="C50" s="23" t="str">
        <x:v>V-068</x:v>
      </x:c>
      <x:c r="D50" s="39" t="n">
        <x:v>6845.48</x:v>
      </x:c>
      <x:c r="E50" s="27" t="n">
        <x:v>0.9711316983832704</x:v>
      </x:c>
      <x:c r="F50" s="23" t="str">
        <x:v>Critical</x:v>
      </x:c>
      <x:c r="G50" s="216" t="b">
        <x:v>1</x:v>
      </x:c>
    </x:row>
    <x:row r="51">
      <x:c r="A51" s="23" t="str">
        <x:v>P2P-005070</x:v>
      </x:c>
      <x:c r="B51" s="23" t="str">
        <x:v>Consumer Products</x:v>
      </x:c>
      <x:c r="C51" s="23" t="str">
        <x:v>V-073</x:v>
      </x:c>
      <x:c r="D51" s="39" t="n">
        <x:v>9236</x:v>
      </x:c>
      <x:c r="E51" s="27" t="n">
        <x:v>0.9707693629471393</x:v>
      </x:c>
      <x:c r="F51" s="23" t="str">
        <x:v>Critical</x:v>
      </x:c>
      <x:c r="G51" s="216" t="b">
        <x:v>1</x:v>
      </x:c>
    </x:row>
    <x:row r="52">
      <x:c r="A52" s="23" t="str">
        <x:v>P2P-000904</x:v>
      </x:c>
      <x:c r="B52" s="23" t="str">
        <x:v>Consumer Products</x:v>
      </x:c>
      <x:c r="C52" s="23" t="str">
        <x:v>V-072</x:v>
      </x:c>
      <x:c r="D52" s="39" t="n">
        <x:v>6670.07</x:v>
      </x:c>
      <x:c r="E52" s="27" t="n">
        <x:v>0.9707165483629838</x:v>
      </x:c>
      <x:c r="F52" s="23" t="str">
        <x:v>Critical</x:v>
      </x:c>
      <x:c r="G52" s="216" t="b">
        <x:v>1</x:v>
      </x:c>
    </x:row>
    <x:row r="53">
      <x:c r="A53" s="23" t="str">
        <x:v>P2P-011254</x:v>
      </x:c>
      <x:c r="B53" s="23" t="str">
        <x:v>Consumer Products</x:v>
      </x:c>
      <x:c r="C53" s="23" t="str">
        <x:v>V-078</x:v>
      </x:c>
      <x:c r="D53" s="39" t="n">
        <x:v>50687.31</x:v>
      </x:c>
      <x:c r="E53" s="27" t="n">
        <x:v>0.9706624844897216</x:v>
      </x:c>
      <x:c r="F53" s="23" t="str">
        <x:v>Critical</x:v>
      </x:c>
      <x:c r="G53" s="216" t="b">
        <x:v>1</x:v>
      </x:c>
    </x:row>
    <x:row r="54">
      <x:c r="A54" s="23" t="str">
        <x:v>P2P-002455</x:v>
      </x:c>
      <x:c r="B54" s="23" t="str">
        <x:v>Industrial Systems</x:v>
      </x:c>
      <x:c r="C54" s="23" t="str">
        <x:v>V-067</x:v>
      </x:c>
      <x:c r="D54" s="39" t="n">
        <x:v>25156.07</x:v>
      </x:c>
      <x:c r="E54" s="27" t="n">
        <x:v>0.9702823800357337</x:v>
      </x:c>
      <x:c r="F54" s="23" t="str">
        <x:v>Critical</x:v>
      </x:c>
      <x:c r="G54" s="216" t="b">
        <x:v>1</x:v>
      </x:c>
    </x:row>
    <x:row r="55">
      <x:c r="A55" s="23" t="str">
        <x:v>P2P-011760</x:v>
      </x:c>
      <x:c r="B55" s="23" t="str">
        <x:v>Industrial Systems</x:v>
      </x:c>
      <x:c r="C55" s="23" t="str">
        <x:v>V-066</x:v>
      </x:c>
      <x:c r="D55" s="39" t="n">
        <x:v>14933.49</x:v>
      </x:c>
      <x:c r="E55" s="27" t="n">
        <x:v>0.9702742141379298</x:v>
      </x:c>
      <x:c r="F55" s="23" t="str">
        <x:v>Critical</x:v>
      </x:c>
      <x:c r="G55" s="216" t="b">
        <x:v>1</x:v>
      </x:c>
    </x:row>
    <x:row r="56">
      <x:c r="A56" s="23" t="str">
        <x:v>P2P-009696</x:v>
      </x:c>
      <x:c r="B56" s="23" t="str">
        <x:v>Industrial Systems</x:v>
      </x:c>
      <x:c r="C56" s="23" t="str">
        <x:v>V-072</x:v>
      </x:c>
      <x:c r="D56" s="39" t="n">
        <x:v>14705.84</x:v>
      </x:c>
      <x:c r="E56" s="27" t="n">
        <x:v>0.9701188474738356</x:v>
      </x:c>
      <x:c r="F56" s="23" t="str">
        <x:v>Critical</x:v>
      </x:c>
      <x:c r="G56" s="216" t="b">
        <x:v>1</x:v>
      </x:c>
    </x:row>
    <x:row r="57">
      <x:c r="A57" s="23" t="str">
        <x:v>P2P-006713</x:v>
      </x:c>
      <x:c r="B57" s="23" t="str">
        <x:v>Corporate Services</x:v>
      </x:c>
      <x:c r="C57" s="23" t="str">
        <x:v>V-070</x:v>
      </x:c>
      <x:c r="D57" s="39" t="n">
        <x:v>29136.32</x:v>
      </x:c>
      <x:c r="E57" s="27" t="n">
        <x:v>0.9697714067746165</x:v>
      </x:c>
      <x:c r="F57" s="23" t="str">
        <x:v>Critical</x:v>
      </x:c>
      <x:c r="G57" s="216" t="b">
        <x:v>1</x:v>
      </x:c>
    </x:row>
    <x:row r="58">
      <x:c r="A58" s="23" t="str">
        <x:v>P2P-011009</x:v>
      </x:c>
      <x:c r="B58" s="23" t="str">
        <x:v>Industrial Systems</x:v>
      </x:c>
      <x:c r="C58" s="23" t="str">
        <x:v>V-077</x:v>
      </x:c>
      <x:c r="D58" s="39" t="n">
        <x:v>5414.06</x:v>
      </x:c>
      <x:c r="E58" s="27" t="n">
        <x:v>0.9691018912390881</x:v>
      </x:c>
      <x:c r="F58" s="23" t="str">
        <x:v>Critical</x:v>
      </x:c>
      <x:c r="G58" s="216" t="b">
        <x:v>1</x:v>
      </x:c>
    </x:row>
    <x:row r="59">
      <x:c r="A59" s="23" t="str">
        <x:v>P2P-010796</x:v>
      </x:c>
      <x:c r="B59" s="23" t="str">
        <x:v>Consumer Products</x:v>
      </x:c>
      <x:c r="C59" s="23" t="str">
        <x:v>V-071</x:v>
      </x:c>
      <x:c r="D59" s="39" t="n">
        <x:v>5170.1</x:v>
      </x:c>
      <x:c r="E59" s="27" t="n">
        <x:v>0.9689588977911349</x:v>
      </x:c>
      <x:c r="F59" s="23" t="str">
        <x:v>Critical</x:v>
      </x:c>
      <x:c r="G59" s="216" t="b">
        <x:v>1</x:v>
      </x:c>
    </x:row>
    <x:row r="60">
      <x:c r="A60" s="23" t="str">
        <x:v>P2P-007351</x:v>
      </x:c>
      <x:c r="B60" s="23" t="str">
        <x:v>Industrial Systems</x:v>
      </x:c>
      <x:c r="C60" s="23" t="str">
        <x:v>V-065</x:v>
      </x:c>
      <x:c r="D60" s="39" t="n">
        <x:v>77306.94</x:v>
      </x:c>
      <x:c r="E60" s="27" t="n">
        <x:v>0.9688727481873937</x:v>
      </x:c>
      <x:c r="F60" s="23" t="str">
        <x:v>Critical</x:v>
      </x:c>
      <x:c r="G60" s="216" t="b">
        <x:v>1</x:v>
      </x:c>
    </x:row>
    <x:row r="61">
      <x:c r="A61" s="23" t="str">
        <x:v>P2P-011230</x:v>
      </x:c>
      <x:c r="B61" s="23" t="str">
        <x:v>Corporate Services</x:v>
      </x:c>
      <x:c r="C61" s="23" t="str">
        <x:v>V-069</x:v>
      </x:c>
      <x:c r="D61" s="39" t="n">
        <x:v>27512.89</x:v>
      </x:c>
      <x:c r="E61" s="27" t="n">
        <x:v>0.9687946144618093</x:v>
      </x:c>
      <x:c r="F61" s="23" t="str">
        <x:v>Critical</x:v>
      </x:c>
      <x:c r="G61" s="216" t="b">
        <x:v>1</x:v>
      </x:c>
    </x:row>
    <x:row r="62">
      <x:c r="A62" s="23" t="str">
        <x:v>P2P-007461</x:v>
      </x:c>
      <x:c r="B62" s="23" t="str">
        <x:v>Industrial Systems</x:v>
      </x:c>
      <x:c r="C62" s="23" t="str">
        <x:v>V-064</x:v>
      </x:c>
      <x:c r="D62" s="39" t="n">
        <x:v>85296.08</x:v>
      </x:c>
      <x:c r="E62" s="27" t="n">
        <x:v>0.9686549306009913</x:v>
      </x:c>
      <x:c r="F62" s="23" t="str">
        <x:v>Critical</x:v>
      </x:c>
      <x:c r="G62" s="216" t="b">
        <x:v>1</x:v>
      </x:c>
    </x:row>
    <x:row r="63">
      <x:c r="A63" s="23" t="str">
        <x:v>P2P-000516</x:v>
      </x:c>
      <x:c r="B63" s="23" t="str">
        <x:v>Consumer Products</x:v>
      </x:c>
      <x:c r="C63" s="23" t="str">
        <x:v>V-077</x:v>
      </x:c>
      <x:c r="D63" s="39" t="n">
        <x:v>20063.7</x:v>
      </x:c>
      <x:c r="E63" s="27" t="n">
        <x:v>0.9686495769642164</x:v>
      </x:c>
      <x:c r="F63" s="23" t="str">
        <x:v>Critical</x:v>
      </x:c>
      <x:c r="G63" s="216" t="b">
        <x:v>1</x:v>
      </x:c>
    </x:row>
    <x:row r="64">
      <x:c r="A64" s="23" t="str">
        <x:v>P2P-001382</x:v>
      </x:c>
      <x:c r="B64" s="23" t="str">
        <x:v>Corporate Services</x:v>
      </x:c>
      <x:c r="C64" s="23" t="str">
        <x:v>V-077</x:v>
      </x:c>
      <x:c r="D64" s="39" t="n">
        <x:v>9165.05</x:v>
      </x:c>
      <x:c r="E64" s="27" t="n">
        <x:v>0.9686090834666115</x:v>
      </x:c>
      <x:c r="F64" s="23" t="str">
        <x:v>Critical</x:v>
      </x:c>
      <x:c r="G64" s="216" t="b">
        <x:v>1</x:v>
      </x:c>
    </x:row>
    <x:row r="65">
      <x:c r="A65" s="23" t="str">
        <x:v>P2P-005356</x:v>
      </x:c>
      <x:c r="B65" s="23" t="str">
        <x:v>Corporate Services</x:v>
      </x:c>
      <x:c r="C65" s="23" t="str">
        <x:v>V-076</x:v>
      </x:c>
      <x:c r="D65" s="39" t="n">
        <x:v>4975.19</x:v>
      </x:c>
      <x:c r="E65" s="27" t="n">
        <x:v>0.9685472680785977</x:v>
      </x:c>
      <x:c r="F65" s="23" t="str">
        <x:v>Critical</x:v>
      </x:c>
      <x:c r="G65" s="216" t="b">
        <x:v>1</x:v>
      </x:c>
    </x:row>
    <x:row r="66">
      <x:c r="A66" s="23" t="str">
        <x:v>P2P-002470</x:v>
      </x:c>
      <x:c r="B66" s="23" t="str">
        <x:v>Consumer Products</x:v>
      </x:c>
      <x:c r="C66" s="23" t="str">
        <x:v>V-066</x:v>
      </x:c>
      <x:c r="D66" s="39" t="n">
        <x:v>37843.85</x:v>
      </x:c>
      <x:c r="E66" s="27" t="n">
        <x:v>0.9676302719743314</x:v>
      </x:c>
      <x:c r="F66" s="23" t="str">
        <x:v>Critical</x:v>
      </x:c>
      <x:c r="G66" s="216" t="b">
        <x:v>1</x:v>
      </x:c>
    </x:row>
    <x:row r="67">
      <x:c r="A67" s="23" t="str">
        <x:v>P2P-001803</x:v>
      </x:c>
      <x:c r="B67" s="23" t="str">
        <x:v>Corporate Services</x:v>
      </x:c>
      <x:c r="C67" s="23" t="str">
        <x:v>V-063</x:v>
      </x:c>
      <x:c r="D67" s="39" t="n">
        <x:v>2615.04</x:v>
      </x:c>
      <x:c r="E67" s="27" t="n">
        <x:v>0.9669069620298838</x:v>
      </x:c>
      <x:c r="F67" s="23" t="str">
        <x:v>Critical</x:v>
      </x:c>
      <x:c r="G67" s="216" t="b">
        <x:v>1</x:v>
      </x:c>
    </x:row>
    <x:row r="68">
      <x:c r="A68" s="23" t="str">
        <x:v>P2P-009944</x:v>
      </x:c>
      <x:c r="B68" s="23" t="str">
        <x:v>Consumer Products</x:v>
      </x:c>
      <x:c r="C68" s="23" t="str">
        <x:v>V-077</x:v>
      </x:c>
      <x:c r="D68" s="39" t="n">
        <x:v>14068.48</x:v>
      </x:c>
      <x:c r="E68" s="27" t="n">
        <x:v>0.9666796068510951</x:v>
      </x:c>
      <x:c r="F68" s="23" t="str">
        <x:v>Critical</x:v>
      </x:c>
      <x:c r="G68" s="216" t="b">
        <x:v>1</x:v>
      </x:c>
    </x:row>
    <x:row r="69">
      <x:c r="A69" s="23" t="str">
        <x:v>P2P-006551</x:v>
      </x:c>
      <x:c r="B69" s="23" t="str">
        <x:v>Corporate Services</x:v>
      </x:c>
      <x:c r="C69" s="23" t="str">
        <x:v>V-079</x:v>
      </x:c>
      <x:c r="D69" s="39" t="n">
        <x:v>92204.97</x:v>
      </x:c>
      <x:c r="E69" s="27" t="n">
        <x:v>0.9663358652428001</x:v>
      </x:c>
      <x:c r="F69" s="23" t="str">
        <x:v>Critical</x:v>
      </x:c>
      <x:c r="G69" s="216" t="b">
        <x:v>1</x:v>
      </x:c>
    </x:row>
    <x:row r="70">
      <x:c r="A70" s="23" t="str">
        <x:v>P2P-011187</x:v>
      </x:c>
      <x:c r="B70" s="23" t="str">
        <x:v>Industrial Systems</x:v>
      </x:c>
      <x:c r="C70" s="23" t="str">
        <x:v>V-068</x:v>
      </x:c>
      <x:c r="D70" s="39" t="n">
        <x:v>36688.39</x:v>
      </x:c>
      <x:c r="E70" s="27" t="n">
        <x:v>0.9659263997025724</x:v>
      </x:c>
      <x:c r="F70" s="23" t="str">
        <x:v>Critical</x:v>
      </x:c>
      <x:c r="G70" s="216" t="b">
        <x:v>1</x:v>
      </x:c>
    </x:row>
    <x:row r="71">
      <x:c r="A71" s="23" t="str">
        <x:v>P2P-003367</x:v>
      </x:c>
      <x:c r="B71" s="23" t="str">
        <x:v>Industrial Systems</x:v>
      </x:c>
      <x:c r="C71" s="23" t="str">
        <x:v>V-064</x:v>
      </x:c>
      <x:c r="D71" s="39" t="n">
        <x:v>56898.72</x:v>
      </x:c>
      <x:c r="E71" s="27" t="n">
        <x:v>0.9654268962336672</x:v>
      </x:c>
      <x:c r="F71" s="23" t="str">
        <x:v>Critical</x:v>
      </x:c>
      <x:c r="G71" s="216" t="b">
        <x:v>1</x:v>
      </x:c>
    </x:row>
    <x:row r="72">
      <x:c r="A72" s="23" t="str">
        <x:v>P2P-011948</x:v>
      </x:c>
      <x:c r="B72" s="23" t="str">
        <x:v>Corporate Services</x:v>
      </x:c>
      <x:c r="C72" s="23" t="str">
        <x:v>V-073</x:v>
      </x:c>
      <x:c r="D72" s="39" t="n">
        <x:v>25485.82</x:v>
      </x:c>
      <x:c r="E72" s="27" t="n">
        <x:v>0.9654076122225289</x:v>
      </x:c>
      <x:c r="F72" s="23" t="str">
        <x:v>Critical</x:v>
      </x:c>
      <x:c r="G72" s="216" t="b">
        <x:v>1</x:v>
      </x:c>
    </x:row>
    <x:row r="73">
      <x:c r="A73" s="23" t="str">
        <x:v>P2P-002194</x:v>
      </x:c>
      <x:c r="B73" s="23" t="str">
        <x:v>Industrial Systems</x:v>
      </x:c>
      <x:c r="C73" s="23" t="str">
        <x:v>V-073</x:v>
      </x:c>
      <x:c r="D73" s="39" t="n">
        <x:v>16098.96</x:v>
      </x:c>
      <x:c r="E73" s="27" t="n">
        <x:v>0.9652691392064354</x:v>
      </x:c>
      <x:c r="F73" s="23" t="str">
        <x:v>Critical</x:v>
      </x:c>
      <x:c r="G73" s="216" t="b">
        <x:v>1</x:v>
      </x:c>
    </x:row>
    <x:row r="74">
      <x:c r="A74" s="23" t="str">
        <x:v>P2P-009118</x:v>
      </x:c>
      <x:c r="B74" s="23" t="str">
        <x:v>Consumer Products</x:v>
      </x:c>
      <x:c r="C74" s="23" t="str">
        <x:v>V-060</x:v>
      </x:c>
      <x:c r="D74" s="39" t="n">
        <x:v>6165.48</x:v>
      </x:c>
      <x:c r="E74" s="27" t="n">
        <x:v>0.9649561569551091</x:v>
      </x:c>
      <x:c r="F74" s="23" t="str">
        <x:v>Critical</x:v>
      </x:c>
      <x:c r="G74" s="216" t="b">
        <x:v>1</x:v>
      </x:c>
    </x:row>
    <x:row r="75">
      <x:c r="A75" s="23" t="str">
        <x:v>P2P-004842</x:v>
      </x:c>
      <x:c r="B75" s="23" t="str">
        <x:v>Corporate Services</x:v>
      </x:c>
      <x:c r="C75" s="23" t="str">
        <x:v>V-065</x:v>
      </x:c>
      <x:c r="D75" s="39" t="n">
        <x:v>12010.26</x:v>
      </x:c>
      <x:c r="E75" s="27" t="n">
        <x:v>0.9646510993820271</x:v>
      </x:c>
      <x:c r="F75" s="23" t="str">
        <x:v>Critical</x:v>
      </x:c>
      <x:c r="G75" s="216" t="b">
        <x:v>1</x:v>
      </x:c>
    </x:row>
    <x:row r="76">
      <x:c r="A76" s="23" t="str">
        <x:v>P2P-009141</x:v>
      </x:c>
      <x:c r="B76" s="23" t="str">
        <x:v>Corporate Services</x:v>
      </x:c>
      <x:c r="C76" s="23" t="str">
        <x:v>V-053</x:v>
      </x:c>
      <x:c r="D76" s="39" t="n">
        <x:v>159083.44</x:v>
      </x:c>
      <x:c r="E76" s="27" t="n">
        <x:v>0.9638860939216302</x:v>
      </x:c>
      <x:c r="F76" s="23" t="str">
        <x:v>Critical</x:v>
      </x:c>
      <x:c r="G76" s="216" t="b">
        <x:v>1</x:v>
      </x:c>
    </x:row>
    <x:row r="77">
      <x:c r="A77" s="23" t="str">
        <x:v>P2P-003933</x:v>
      </x:c>
      <x:c r="B77" s="23" t="str">
        <x:v>Consumer Products</x:v>
      </x:c>
      <x:c r="C77" s="23" t="str">
        <x:v>V-076</x:v>
      </x:c>
      <x:c r="D77" s="39" t="n">
        <x:v>4214.37</x:v>
      </x:c>
      <x:c r="E77" s="27" t="n">
        <x:v>0.9638211257660709</x:v>
      </x:c>
      <x:c r="F77" s="23" t="str">
        <x:v>Critical</x:v>
      </x:c>
      <x:c r="G77" s="216" t="b">
        <x:v>1</x:v>
      </x:c>
    </x:row>
    <x:row r="78">
      <x:c r="A78" s="23" t="str">
        <x:v>P2P-003305</x:v>
      </x:c>
      <x:c r="B78" s="23" t="str">
        <x:v>Industrial Systems</x:v>
      </x:c>
      <x:c r="C78" s="23" t="str">
        <x:v>V-074</x:v>
      </x:c>
      <x:c r="D78" s="39" t="n">
        <x:v>3274.32</x:v>
      </x:c>
      <x:c r="E78" s="27" t="n">
        <x:v>0.9637526120927369</x:v>
      </x:c>
      <x:c r="F78" s="23" t="str">
        <x:v>Critical</x:v>
      </x:c>
      <x:c r="G78" s="216" t="b">
        <x:v>1</x:v>
      </x:c>
    </x:row>
    <x:row r="79">
      <x:c r="A79" s="23" t="str">
        <x:v>P2P-004736</x:v>
      </x:c>
      <x:c r="B79" s="23" t="str">
        <x:v>Corporate Services</x:v>
      </x:c>
      <x:c r="C79" s="23" t="str">
        <x:v>V-078</x:v>
      </x:c>
      <x:c r="D79" s="39" t="n">
        <x:v>29193.06</x:v>
      </x:c>
      <x:c r="E79" s="27" t="n">
        <x:v>0.9635347118392165</x:v>
      </x:c>
      <x:c r="F79" s="23" t="str">
        <x:v>Critical</x:v>
      </x:c>
      <x:c r="G79" s="216" t="b">
        <x:v>1</x:v>
      </x:c>
    </x:row>
    <x:row r="80">
      <x:c r="A80" s="23" t="str">
        <x:v>P2P-009668</x:v>
      </x:c>
      <x:c r="B80" s="23" t="str">
        <x:v>Consumer Products</x:v>
      </x:c>
      <x:c r="C80" s="23" t="str">
        <x:v>V-062</x:v>
      </x:c>
      <x:c r="D80" s="39" t="n">
        <x:v>19567.55</x:v>
      </x:c>
      <x:c r="E80" s="27" t="n">
        <x:v>0.9624848008824428</x:v>
      </x:c>
      <x:c r="F80" s="23" t="str">
        <x:v>Critical</x:v>
      </x:c>
      <x:c r="G80" s="216" t="b">
        <x:v>1</x:v>
      </x:c>
    </x:row>
    <x:row r="81">
      <x:c r="A81" s="23" t="str">
        <x:v>P2P-010555</x:v>
      </x:c>
      <x:c r="B81" s="23" t="str">
        <x:v>Industrial Systems</x:v>
      </x:c>
      <x:c r="C81" s="23" t="str">
        <x:v>V-062</x:v>
      </x:c>
      <x:c r="D81" s="39" t="n">
        <x:v>27391.84</x:v>
      </x:c>
      <x:c r="E81" s="27" t="n">
        <x:v>0.9615219971521424</x:v>
      </x:c>
      <x:c r="F81" s="23" t="str">
        <x:v>Critical</x:v>
      </x:c>
      <x:c r="G81" s="216" t="b">
        <x:v>1</x:v>
      </x:c>
    </x:row>
    <x:row r="82">
      <x:c r="A82" s="23" t="str">
        <x:v>P2P-008105</x:v>
      </x:c>
      <x:c r="B82" s="23" t="str">
        <x:v>Industrial Systems</x:v>
      </x:c>
      <x:c r="C82" s="23" t="str">
        <x:v>V-062</x:v>
      </x:c>
      <x:c r="D82" s="39" t="n">
        <x:v>3326.72</x:v>
      </x:c>
      <x:c r="E82" s="27" t="n">
        <x:v>0.9610021808042735</x:v>
      </x:c>
      <x:c r="F82" s="23" t="str">
        <x:v>Critical</x:v>
      </x:c>
      <x:c r="G82" s="216" t="b">
        <x:v>1</x:v>
      </x:c>
    </x:row>
    <x:row r="83">
      <x:c r="A83" s="23" t="str">
        <x:v>P2P-006277</x:v>
      </x:c>
      <x:c r="B83" s="23" t="str">
        <x:v>Corporate Services</x:v>
      </x:c>
      <x:c r="C83" s="23" t="str">
        <x:v>V-078</x:v>
      </x:c>
      <x:c r="D83" s="39" t="n">
        <x:v>4052.5</x:v>
      </x:c>
      <x:c r="E83" s="27" t="n">
        <x:v>0.9605055142660974</x:v>
      </x:c>
      <x:c r="F83" s="23" t="str">
        <x:v>Critical</x:v>
      </x:c>
      <x:c r="G83" s="216" t="b">
        <x:v>1</x:v>
      </x:c>
    </x:row>
    <x:row r="84">
      <x:c r="A84" s="23" t="str">
        <x:v>P2P-008787</x:v>
      </x:c>
      <x:c r="B84" s="23" t="str">
        <x:v>Corporate Services</x:v>
      </x:c>
      <x:c r="C84" s="23" t="str">
        <x:v>V-067</x:v>
      </x:c>
      <x:c r="D84" s="39" t="n">
        <x:v>81758.93</x:v>
      </x:c>
      <x:c r="E84" s="27" t="n">
        <x:v>0.9604779524346965</x:v>
      </x:c>
      <x:c r="F84" s="23" t="str">
        <x:v>Critical</x:v>
      </x:c>
      <x:c r="G84" s="216" t="b">
        <x:v>0</x:v>
      </x:c>
    </x:row>
    <x:row r="85">
      <x:c r="A85" s="23" t="str">
        <x:v>P2P-009562</x:v>
      </x:c>
      <x:c r="B85" s="23" t="str">
        <x:v>Consumer Products</x:v>
      </x:c>
      <x:c r="C85" s="23" t="str">
        <x:v>V-078</x:v>
      </x:c>
      <x:c r="D85" s="39" t="n">
        <x:v>3545.39</x:v>
      </x:c>
      <x:c r="E85" s="27" t="n">
        <x:v>0.9603713338077156</x:v>
      </x:c>
      <x:c r="F85" s="23" t="str">
        <x:v>Critical</x:v>
      </x:c>
      <x:c r="G85" s="216" t="b">
        <x:v>1</x:v>
      </x:c>
    </x:row>
    <x:row r="86">
      <x:c r="A86" s="23" t="str">
        <x:v>P2P-007732</x:v>
      </x:c>
      <x:c r="B86" s="23" t="str">
        <x:v>Industrial Systems</x:v>
      </x:c>
      <x:c r="C86" s="23" t="str">
        <x:v>V-072</x:v>
      </x:c>
      <x:c r="D86" s="39" t="n">
        <x:v>13322.67</x:v>
      </x:c>
      <x:c r="E86" s="27" t="n">
        <x:v>0.9603014429585703</x:v>
      </x:c>
      <x:c r="F86" s="23" t="str">
        <x:v>Critical</x:v>
      </x:c>
      <x:c r="G86" s="216" t="b">
        <x:v>1</x:v>
      </x:c>
    </x:row>
    <x:row r="87">
      <x:c r="A87" s="23" t="str">
        <x:v>P2P-003259</x:v>
      </x:c>
      <x:c r="B87" s="23" t="str">
        <x:v>Industrial Systems</x:v>
      </x:c>
      <x:c r="C87" s="23" t="str">
        <x:v>V-075</x:v>
      </x:c>
      <x:c r="D87" s="39" t="n">
        <x:v>35288.43</x:v>
      </x:c>
      <x:c r="E87" s="27" t="n">
        <x:v>0.9599272978589449</x:v>
      </x:c>
      <x:c r="F87" s="23" t="str">
        <x:v>Critical</x:v>
      </x:c>
      <x:c r="G87" s="216" t="b">
        <x:v>1</x:v>
      </x:c>
    </x:row>
    <x:row r="88">
      <x:c r="A88" s="23" t="str">
        <x:v>P2P-001874</x:v>
      </x:c>
      <x:c r="B88" s="23" t="str">
        <x:v>Consumer Products</x:v>
      </x:c>
      <x:c r="C88" s="23" t="str">
        <x:v>V-075</x:v>
      </x:c>
      <x:c r="D88" s="39" t="n">
        <x:v>37763.54</x:v>
      </x:c>
      <x:c r="E88" s="27" t="n">
        <x:v>0.959717783648171</x:v>
      </x:c>
      <x:c r="F88" s="23" t="str">
        <x:v>Critical</x:v>
      </x:c>
      <x:c r="G88" s="216" t="b">
        <x:v>1</x:v>
      </x:c>
    </x:row>
    <x:row r="89">
      <x:c r="A89" s="23" t="str">
        <x:v>P2P-010913</x:v>
      </x:c>
      <x:c r="B89" s="23" t="str">
        <x:v>Consumer Products</x:v>
      </x:c>
      <x:c r="C89" s="23" t="str">
        <x:v>V-062</x:v>
      </x:c>
      <x:c r="D89" s="39" t="n">
        <x:v>229651.83</x:v>
      </x:c>
      <x:c r="E89" s="27" t="n">
        <x:v>0.9595461685302612</x:v>
      </x:c>
      <x:c r="F89" s="23" t="str">
        <x:v>Critical</x:v>
      </x:c>
      <x:c r="G89" s="216" t="b">
        <x:v>1</x:v>
      </x:c>
    </x:row>
    <x:row r="90">
      <x:c r="A90" s="23" t="str">
        <x:v>P2P-004064</x:v>
      </x:c>
      <x:c r="B90" s="23" t="str">
        <x:v>Consumer Products</x:v>
      </x:c>
      <x:c r="C90" s="23" t="str">
        <x:v>V-074</x:v>
      </x:c>
      <x:c r="D90" s="39" t="n">
        <x:v>2574.45</x:v>
      </x:c>
      <x:c r="E90" s="27" t="n">
        <x:v>0.959332070105971</x:v>
      </x:c>
      <x:c r="F90" s="23" t="str">
        <x:v>Critical</x:v>
      </x:c>
      <x:c r="G90" s="216" t="b">
        <x:v>1</x:v>
      </x:c>
    </x:row>
    <x:row r="91">
      <x:c r="A91" s="23" t="str">
        <x:v>P2P-002771</x:v>
      </x:c>
      <x:c r="B91" s="23" t="str">
        <x:v>Consumer Products</x:v>
      </x:c>
      <x:c r="C91" s="23" t="str">
        <x:v>V-077</x:v>
      </x:c>
      <x:c r="D91" s="39" t="n">
        <x:v>12936.72</x:v>
      </x:c>
      <x:c r="E91" s="27" t="n">
        <x:v>0.9590298936361209</x:v>
      </x:c>
      <x:c r="F91" s="23" t="str">
        <x:v>Critical</x:v>
      </x:c>
      <x:c r="G91" s="216" t="b">
        <x:v>1</x:v>
      </x:c>
    </x:row>
    <x:row r="92">
      <x:c r="A92" s="23" t="str">
        <x:v>P2P-011480</x:v>
      </x:c>
      <x:c r="B92" s="23" t="str">
        <x:v>Corporate Services</x:v>
      </x:c>
      <x:c r="C92" s="23" t="str">
        <x:v>V-062</x:v>
      </x:c>
      <x:c r="D92" s="39" t="n">
        <x:v>52074.94</x:v>
      </x:c>
      <x:c r="E92" s="27" t="n">
        <x:v>0.9583214418092374</x:v>
      </x:c>
      <x:c r="F92" s="23" t="str">
        <x:v>Critical</x:v>
      </x:c>
      <x:c r="G92" s="216" t="b">
        <x:v>1</x:v>
      </x:c>
    </x:row>
    <x:row r="93">
      <x:c r="A93" s="23" t="str">
        <x:v>P2P-010604</x:v>
      </x:c>
      <x:c r="B93" s="23" t="str">
        <x:v>Corporate Services</x:v>
      </x:c>
      <x:c r="C93" s="23" t="str">
        <x:v>V-063</x:v>
      </x:c>
      <x:c r="D93" s="39" t="n">
        <x:v>9598.17</x:v>
      </x:c>
      <x:c r="E93" s="27" t="n">
        <x:v>0.9582615306031669</x:v>
      </x:c>
      <x:c r="F93" s="23" t="str">
        <x:v>Critical</x:v>
      </x:c>
      <x:c r="G93" s="216" t="b">
        <x:v>1</x:v>
      </x:c>
    </x:row>
    <x:row r="94">
      <x:c r="A94" s="23" t="str">
        <x:v>P2P-011802</x:v>
      </x:c>
      <x:c r="B94" s="23" t="str">
        <x:v>Consumer Products</x:v>
      </x:c>
      <x:c r="C94" s="23" t="str">
        <x:v>V-080</x:v>
      </x:c>
      <x:c r="D94" s="39" t="n">
        <x:v>6530.45</x:v>
      </x:c>
      <x:c r="E94" s="27" t="n">
        <x:v>0.9573504142645552</x:v>
      </x:c>
      <x:c r="F94" s="23" t="str">
        <x:v>Critical</x:v>
      </x:c>
      <x:c r="G94" s="216" t="b">
        <x:v>1</x:v>
      </x:c>
    </x:row>
    <x:row r="95">
      <x:c r="A95" s="23" t="str">
        <x:v>P2P-010550</x:v>
      </x:c>
      <x:c r="B95" s="23" t="str">
        <x:v>Corporate Services</x:v>
      </x:c>
      <x:c r="C95" s="23" t="str">
        <x:v>V-062</x:v>
      </x:c>
      <x:c r="D95" s="39" t="n">
        <x:v>7756.02</x:v>
      </x:c>
      <x:c r="E95" s="27" t="n">
        <x:v>0.9572255576404054</x:v>
      </x:c>
      <x:c r="F95" s="23" t="str">
        <x:v>Critical</x:v>
      </x:c>
      <x:c r="G95" s="216" t="b">
        <x:v>1</x:v>
      </x:c>
    </x:row>
    <x:row r="96">
      <x:c r="A96" s="23" t="str">
        <x:v>P2P-004036</x:v>
      </x:c>
      <x:c r="B96" s="23" t="str">
        <x:v>Corporate Services</x:v>
      </x:c>
      <x:c r="C96" s="23" t="str">
        <x:v>V-070</x:v>
      </x:c>
      <x:c r="D96" s="39" t="n">
        <x:v>2958.06</x:v>
      </x:c>
      <x:c r="E96" s="27" t="n">
        <x:v>0.9568874671860159</x:v>
      </x:c>
      <x:c r="F96" s="23" t="str">
        <x:v>Critical</x:v>
      </x:c>
      <x:c r="G96" s="216" t="b">
        <x:v>1</x:v>
      </x:c>
    </x:row>
    <x:row r="97">
      <x:c r="A97" s="23" t="str">
        <x:v>P2P-001683</x:v>
      </x:c>
      <x:c r="B97" s="23" t="str">
        <x:v>Industrial Systems</x:v>
      </x:c>
      <x:c r="C97" s="23" t="str">
        <x:v>V-075</x:v>
      </x:c>
      <x:c r="D97" s="39" t="n">
        <x:v>37528.44</x:v>
      </x:c>
      <x:c r="E97" s="27" t="n">
        <x:v>0.9561253193516425</x:v>
      </x:c>
      <x:c r="F97" s="23" t="str">
        <x:v>Critical</x:v>
      </x:c>
      <x:c r="G97" s="216" t="b">
        <x:v>1</x:v>
      </x:c>
    </x:row>
    <x:row r="98">
      <x:c r="A98" s="23" t="str">
        <x:v>P2P-000705</x:v>
      </x:c>
      <x:c r="B98" s="23" t="str">
        <x:v>Industrial Systems</x:v>
      </x:c>
      <x:c r="C98" s="23" t="str">
        <x:v>V-075</x:v>
      </x:c>
      <x:c r="D98" s="39" t="n">
        <x:v>25039.77</x:v>
      </x:c>
      <x:c r="E98" s="27" t="n">
        <x:v>0.9554932257831725</x:v>
      </x:c>
      <x:c r="F98" s="23" t="str">
        <x:v>Critical</x:v>
      </x:c>
      <x:c r="G98" s="216" t="b">
        <x:v>1</x:v>
      </x:c>
    </x:row>
    <x:row r="99">
      <x:c r="A99" s="23" t="str">
        <x:v>P2P-009261</x:v>
      </x:c>
      <x:c r="B99" s="23" t="str">
        <x:v>Industrial Systems</x:v>
      </x:c>
      <x:c r="C99" s="23" t="str">
        <x:v>V-068</x:v>
      </x:c>
      <x:c r="D99" s="39" t="n">
        <x:v>19551.79</x:v>
      </x:c>
      <x:c r="E99" s="27" t="n">
        <x:v>0.9553511326851051</x:v>
      </x:c>
      <x:c r="F99" s="23" t="str">
        <x:v>Critical</x:v>
      </x:c>
      <x:c r="G99" s="216" t="b">
        <x:v>1</x:v>
      </x:c>
    </x:row>
    <x:row r="100">
      <x:c r="A100" s="23" t="str">
        <x:v>P2P-003825</x:v>
      </x:c>
      <x:c r="B100" s="23" t="str">
        <x:v>Consumer Products</x:v>
      </x:c>
      <x:c r="C100" s="23" t="str">
        <x:v>V-065</x:v>
      </x:c>
      <x:c r="D100" s="39" t="n">
        <x:v>11783.74</x:v>
      </x:c>
      <x:c r="E100" s="27" t="n">
        <x:v>0.9549047890243734</x:v>
      </x:c>
      <x:c r="F100" s="23" t="str">
        <x:v>Critical</x:v>
      </x:c>
      <x:c r="G100" s="216" t="b">
        <x:v>1</x:v>
      </x:c>
    </x:row>
    <x:row r="101">
      <x:c r="A101" s="23" t="str">
        <x:v>P2P-005451</x:v>
      </x:c>
      <x:c r="B101" s="23" t="str">
        <x:v>Consumer Products</x:v>
      </x:c>
      <x:c r="C101" s="23" t="str">
        <x:v>V-078</x:v>
      </x:c>
      <x:c r="D101" s="39" t="n">
        <x:v>1029.15</x:v>
      </x:c>
      <x:c r="E101" s="27" t="n">
        <x:v>0.9548958475844879</x:v>
      </x:c>
      <x:c r="F101" s="23" t="str">
        <x:v>Critical</x:v>
      </x:c>
      <x:c r="G101" s="216" t="b">
        <x:v>0</x:v>
      </x:c>
    </x:row>
    <x:row r="102">
      <x:c r="A102" s="23" t="str">
        <x:v>P2P-009591</x:v>
      </x:c>
      <x:c r="B102" s="23" t="str">
        <x:v>Industrial Systems</x:v>
      </x:c>
      <x:c r="C102" s="23" t="str">
        <x:v>V-062</x:v>
      </x:c>
      <x:c r="D102" s="39" t="n">
        <x:v>29542.67</x:v>
      </x:c>
      <x:c r="E102" s="27" t="n">
        <x:v>0.9548798880228582</x:v>
      </x:c>
      <x:c r="F102" s="23" t="str">
        <x:v>Critical</x:v>
      </x:c>
      <x:c r="G102" s="216" t="b">
        <x:v>1</x:v>
      </x:c>
    </x:row>
    <x:row r="103">
      <x:c r="A103" s="23" t="str">
        <x:v>P2P-002142</x:v>
      </x:c>
      <x:c r="B103" s="23" t="str">
        <x:v>Industrial Systems</x:v>
      </x:c>
      <x:c r="C103" s="23" t="str">
        <x:v>V-067</x:v>
      </x:c>
      <x:c r="D103" s="39" t="n">
        <x:v>21975.36</x:v>
      </x:c>
      <x:c r="E103" s="27" t="n">
        <x:v>0.9544852202277941</x:v>
      </x:c>
      <x:c r="F103" s="23" t="str">
        <x:v>Critical</x:v>
      </x:c>
      <x:c r="G103" s="216" t="b">
        <x:v>1</x:v>
      </x:c>
    </x:row>
    <x:row r="104">
      <x:c r="A104" s="23" t="str">
        <x:v>P2P-002224</x:v>
      </x:c>
      <x:c r="B104" s="23" t="str">
        <x:v>Industrial Systems</x:v>
      </x:c>
      <x:c r="C104" s="23" t="str">
        <x:v>V-061</x:v>
      </x:c>
      <x:c r="D104" s="39" t="n">
        <x:v>2164.78</x:v>
      </x:c>
      <x:c r="E104" s="27" t="n">
        <x:v>0.9512722391928322</x:v>
      </x:c>
      <x:c r="F104" s="23" t="str">
        <x:v>Critical</x:v>
      </x:c>
      <x:c r="G104" s="216" t="b">
        <x:v>1</x:v>
      </x:c>
    </x:row>
    <x:row r="105">
      <x:c r="A105" s="23" t="str">
        <x:v>P2P-006131</x:v>
      </x:c>
      <x:c r="B105" s="23" t="str">
        <x:v>Industrial Systems</x:v>
      </x:c>
      <x:c r="C105" s="23" t="str">
        <x:v>V-073</x:v>
      </x:c>
      <x:c r="D105" s="39" t="n">
        <x:v>4719.2</x:v>
      </x:c>
      <x:c r="E105" s="27" t="n">
        <x:v>0.9510095205398708</x:v>
      </x:c>
      <x:c r="F105" s="23" t="str">
        <x:v>Critical</x:v>
      </x:c>
      <x:c r="G105" s="216" t="b">
        <x:v>1</x:v>
      </x:c>
    </x:row>
    <x:row r="106">
      <x:c r="A106" s="23" t="str">
        <x:v>P2P-010824</x:v>
      </x:c>
      <x:c r="B106" s="23" t="str">
        <x:v>Consumer Products</x:v>
      </x:c>
      <x:c r="C106" s="23" t="str">
        <x:v>V-072</x:v>
      </x:c>
      <x:c r="D106" s="39" t="n">
        <x:v>37680.07</x:v>
      </x:c>
      <x:c r="E106" s="27" t="n">
        <x:v>0.950855626848543</x:v>
      </x:c>
      <x:c r="F106" s="23" t="str">
        <x:v>Critical</x:v>
      </x:c>
      <x:c r="G106" s="216" t="b">
        <x:v>0</x:v>
      </x:c>
    </x:row>
    <x:row r="107">
      <x:c r="A107" s="23" t="str">
        <x:v>P2P-004561</x:v>
      </x:c>
      <x:c r="B107" s="23" t="str">
        <x:v>Industrial Systems</x:v>
      </x:c>
      <x:c r="C107" s="23" t="str">
        <x:v>V-075</x:v>
      </x:c>
      <x:c r="D107" s="39" t="n">
        <x:v>11105.24</x:v>
      </x:c>
      <x:c r="E107" s="27" t="n">
        <x:v>0.949727600444507</x:v>
      </x:c>
      <x:c r="F107" s="23" t="str">
        <x:v>Critical</x:v>
      </x:c>
      <x:c r="G107" s="216" t="b">
        <x:v>1</x:v>
      </x:c>
    </x:row>
    <x:row r="108">
      <x:c r="A108" s="23" t="str">
        <x:v>P2P-000536</x:v>
      </x:c>
      <x:c r="B108" s="23" t="str">
        <x:v>Consumer Products</x:v>
      </x:c>
      <x:c r="C108" s="23" t="str">
        <x:v>V-078</x:v>
      </x:c>
      <x:c r="D108" s="39" t="n">
        <x:v>5916.37</x:v>
      </x:c>
      <x:c r="E108" s="27" t="n">
        <x:v>0.9487129185510133</x:v>
      </x:c>
      <x:c r="F108" s="23" t="str">
        <x:v>Critical</x:v>
      </x:c>
      <x:c r="G108" s="216" t="b">
        <x:v>1</x:v>
      </x:c>
    </x:row>
    <x:row r="109">
      <x:c r="A109" s="23" t="str">
        <x:v>P2P-000783</x:v>
      </x:c>
      <x:c r="B109" s="23" t="str">
        <x:v>Industrial Systems</x:v>
      </x:c>
      <x:c r="C109" s="23" t="str">
        <x:v>V-065</x:v>
      </x:c>
      <x:c r="D109" s="39" t="n">
        <x:v>14130.56</x:v>
      </x:c>
      <x:c r="E109" s="27" t="n">
        <x:v>0.948674087033085</x:v>
      </x:c>
      <x:c r="F109" s="23" t="str">
        <x:v>Critical</x:v>
      </x:c>
      <x:c r="G109" s="216" t="b">
        <x:v>1</x:v>
      </x:c>
    </x:row>
    <x:row r="110">
      <x:c r="A110" s="23" t="str">
        <x:v>P2P-008669</x:v>
      </x:c>
      <x:c r="B110" s="23" t="str">
        <x:v>Industrial Systems</x:v>
      </x:c>
      <x:c r="C110" s="23" t="str">
        <x:v>V-063</x:v>
      </x:c>
      <x:c r="D110" s="39" t="n">
        <x:v>140907.98</x:v>
      </x:c>
      <x:c r="E110" s="27" t="n">
        <x:v>0.9484548959104577</x:v>
      </x:c>
      <x:c r="F110" s="23" t="str">
        <x:v>Critical</x:v>
      </x:c>
      <x:c r="G110" s="216" t="b">
        <x:v>1</x:v>
      </x:c>
    </x:row>
    <x:row r="111">
      <x:c r="A111" s="23" t="str">
        <x:v>P2P-001498</x:v>
      </x:c>
      <x:c r="B111" s="23" t="str">
        <x:v>Consumer Products</x:v>
      </x:c>
      <x:c r="C111" s="23" t="str">
        <x:v>V-077</x:v>
      </x:c>
      <x:c r="D111" s="39" t="n">
        <x:v>10876.32</x:v>
      </x:c>
      <x:c r="E111" s="27" t="n">
        <x:v>0.9483950492649126</x:v>
      </x:c>
      <x:c r="F111" s="23" t="str">
        <x:v>Critical</x:v>
      </x:c>
      <x:c r="G111" s="216" t="b">
        <x:v>1</x:v>
      </x:c>
    </x:row>
    <x:row r="112">
      <x:c r="A112" s="23" t="str">
        <x:v>P2P-002084</x:v>
      </x:c>
      <x:c r="B112" s="23" t="str">
        <x:v>Consumer Products</x:v>
      </x:c>
      <x:c r="C112" s="23" t="str">
        <x:v>V-064</x:v>
      </x:c>
      <x:c r="D112" s="39" t="n">
        <x:v>4867.33</x:v>
      </x:c>
      <x:c r="E112" s="27" t="n">
        <x:v>0.9465070151914885</x:v>
      </x:c>
      <x:c r="F112" s="23" t="str">
        <x:v>Critical</x:v>
      </x:c>
      <x:c r="G112" s="216" t="b">
        <x:v>1</x:v>
      </x:c>
    </x:row>
    <x:row r="113">
      <x:c r="A113" s="23" t="str">
        <x:v>P2P-006902</x:v>
      </x:c>
      <x:c r="B113" s="23" t="str">
        <x:v>Industrial Systems</x:v>
      </x:c>
      <x:c r="C113" s="23" t="str">
        <x:v>V-068</x:v>
      </x:c>
      <x:c r="D113" s="39" t="n">
        <x:v>6685.72</x:v>
      </x:c>
      <x:c r="E113" s="27" t="n">
        <x:v>0.9438353350773704</x:v>
      </x:c>
      <x:c r="F113" s="23" t="str">
        <x:v>Critical</x:v>
      </x:c>
      <x:c r="G113" s="216" t="b">
        <x:v>1</x:v>
      </x:c>
    </x:row>
    <x:row r="114">
      <x:c r="A114" s="23" t="str">
        <x:v>P2P-006121</x:v>
      </x:c>
      <x:c r="B114" s="23" t="str">
        <x:v>Industrial Systems</x:v>
      </x:c>
      <x:c r="C114" s="23" t="str">
        <x:v>V-039</x:v>
      </x:c>
      <x:c r="D114" s="39" t="n">
        <x:v>19575.12</x:v>
      </x:c>
      <x:c r="E114" s="27" t="n">
        <x:v>0.9427178068642208</x:v>
      </x:c>
      <x:c r="F114" s="23" t="str">
        <x:v>Critical</x:v>
      </x:c>
      <x:c r="G114" s="216" t="b">
        <x:v>1</x:v>
      </x:c>
    </x:row>
    <x:row r="115">
      <x:c r="A115" s="23" t="str">
        <x:v>P2P-006842</x:v>
      </x:c>
      <x:c r="B115" s="23" t="str">
        <x:v>Consumer Products</x:v>
      </x:c>
      <x:c r="C115" s="23" t="str">
        <x:v>V-068</x:v>
      </x:c>
      <x:c r="D115" s="39" t="n">
        <x:v>23130.99</x:v>
      </x:c>
      <x:c r="E115" s="27" t="n">
        <x:v>0.9424367363240098</x:v>
      </x:c>
      <x:c r="F115" s="23" t="str">
        <x:v>Critical</x:v>
      </x:c>
      <x:c r="G115" s="216" t="b">
        <x:v>1</x:v>
      </x:c>
    </x:row>
    <x:row r="116">
      <x:c r="A116" s="23" t="str">
        <x:v>P2P-006832</x:v>
      </x:c>
      <x:c r="B116" s="23" t="str">
        <x:v>Industrial Systems</x:v>
      </x:c>
      <x:c r="C116" s="23" t="str">
        <x:v>V-077</x:v>
      </x:c>
      <x:c r="D116" s="39" t="n">
        <x:v>2655.18</x:v>
      </x:c>
      <x:c r="E116" s="27" t="n">
        <x:v>0.9420703543168261</x:v>
      </x:c>
      <x:c r="F116" s="23" t="str">
        <x:v>Critical</x:v>
      </x:c>
      <x:c r="G116" s="216" t="b">
        <x:v>1</x:v>
      </x:c>
    </x:row>
    <x:row r="117">
      <x:c r="A117" s="23" t="str">
        <x:v>P2P-011327</x:v>
      </x:c>
      <x:c r="B117" s="23" t="str">
        <x:v>Corporate Services</x:v>
      </x:c>
      <x:c r="C117" s="23" t="str">
        <x:v>V-080</x:v>
      </x:c>
      <x:c r="D117" s="39" t="n">
        <x:v>128883.11</x:v>
      </x:c>
      <x:c r="E117" s="27" t="n">
        <x:v>0.94119623839359</x:v>
      </x:c>
      <x:c r="F117" s="23" t="str">
        <x:v>Critical</x:v>
      </x:c>
      <x:c r="G117" s="216" t="b">
        <x:v>1</x:v>
      </x:c>
    </x:row>
    <x:row r="118">
      <x:c r="A118" s="23" t="str">
        <x:v>P2P-003134</x:v>
      </x:c>
      <x:c r="B118" s="23" t="str">
        <x:v>Industrial Systems</x:v>
      </x:c>
      <x:c r="C118" s="23" t="str">
        <x:v>V-076</x:v>
      </x:c>
      <x:c r="D118" s="39" t="n">
        <x:v>138184.3</x:v>
      </x:c>
      <x:c r="E118" s="27" t="n">
        <x:v>0.9401412365802733</x:v>
      </x:c>
      <x:c r="F118" s="23" t="str">
        <x:v>Critical</x:v>
      </x:c>
      <x:c r="G118" s="216" t="b">
        <x:v>1</x:v>
      </x:c>
    </x:row>
    <x:row r="119">
      <x:c r="A119" s="23" t="str">
        <x:v>P2P-001578</x:v>
      </x:c>
      <x:c r="B119" s="23" t="str">
        <x:v>Corporate Services</x:v>
      </x:c>
      <x:c r="C119" s="23" t="str">
        <x:v>V-076</x:v>
      </x:c>
      <x:c r="D119" s="39" t="n">
        <x:v>1731.26</x:v>
      </x:c>
      <x:c r="E119" s="27" t="n">
        <x:v>0.9400756289150729</x:v>
      </x:c>
      <x:c r="F119" s="23" t="str">
        <x:v>Critical</x:v>
      </x:c>
      <x:c r="G119" s="216" t="b">
        <x:v>1</x:v>
      </x:c>
    </x:row>
    <x:row r="120">
      <x:c r="A120" s="23" t="str">
        <x:v>P2P-010802</x:v>
      </x:c>
      <x:c r="B120" s="23" t="str">
        <x:v>Industrial Systems</x:v>
      </x:c>
      <x:c r="C120" s="23" t="str">
        <x:v>V-030</x:v>
      </x:c>
      <x:c r="D120" s="39" t="n">
        <x:v>183000.85</x:v>
      </x:c>
      <x:c r="E120" s="27" t="n">
        <x:v>0.9374621124881829</x:v>
      </x:c>
      <x:c r="F120" s="23" t="str">
        <x:v>Critical</x:v>
      </x:c>
      <x:c r="G120" s="216" t="b">
        <x:v>1</x:v>
      </x:c>
    </x:row>
    <x:row r="121">
      <x:c r="A121" s="23" t="str">
        <x:v>P2P-010072</x:v>
      </x:c>
      <x:c r="B121" s="23" t="str">
        <x:v>Industrial Systems</x:v>
      </x:c>
      <x:c r="C121" s="23" t="str">
        <x:v>V-055</x:v>
      </x:c>
      <x:c r="D121" s="39" t="n">
        <x:v>24096.25</x:v>
      </x:c>
      <x:c r="E121" s="27" t="n">
        <x:v>0.9368408888379595</x:v>
      </x:c>
      <x:c r="F121" s="23" t="str">
        <x:v>Critical</x:v>
      </x:c>
      <x:c r="G121" s="216" t="b">
        <x:v>1</x:v>
      </x:c>
    </x:row>
    <x:row r="122">
      <x:c r="A122" s="23" t="str">
        <x:v>P2P-003981</x:v>
      </x:c>
      <x:c r="B122" s="23" t="str">
        <x:v>Consumer Products</x:v>
      </x:c>
      <x:c r="C122" s="23" t="str">
        <x:v>V-042</x:v>
      </x:c>
      <x:c r="D122" s="39" t="n">
        <x:v>2624.84</x:v>
      </x:c>
      <x:c r="E122" s="27" t="n">
        <x:v>0.9355849142330085</x:v>
      </x:c>
      <x:c r="F122" s="23" t="str">
        <x:v>Critical</x:v>
      </x:c>
      <x:c r="G122" s="216" t="b">
        <x:v>1</x:v>
      </x:c>
    </x:row>
    <x:row r="123">
      <x:c r="A123" s="23" t="str">
        <x:v>P2P-005777</x:v>
      </x:c>
      <x:c r="B123" s="23" t="str">
        <x:v>Corporate Services</x:v>
      </x:c>
      <x:c r="C123" s="23" t="str">
        <x:v>V-061</x:v>
      </x:c>
      <x:c r="D123" s="39" t="n">
        <x:v>16760.27</x:v>
      </x:c>
      <x:c r="E123" s="27" t="n">
        <x:v>0.9353753477693442</x:v>
      </x:c>
      <x:c r="F123" s="23" t="str">
        <x:v>Critical</x:v>
      </x:c>
      <x:c r="G123" s="216" t="b">
        <x:v>1</x:v>
      </x:c>
    </x:row>
  </x:sheetData>
  <x:mergeCells>
    <x:mergeCell ref="A1:K2"/>
    <x:mergeCell ref="A3:K3"/>
  </x:mergeCells>
  <x:conditionalFormatting sqref="C13:C20">
    <x:cfRule type="dataBar" priority="1">
      <x:dataBar>
        <x:cfvo type="min"/>
        <x:cfvo type="max"/>
        <x:color rgb="FFF59E0B"/>
      </x:dataBar>
    </x:cfRule>
  </x:conditionalFormatting>
  <x:conditionalFormatting sqref="E24:E123">
    <x:cfRule type="colorScale" priority="2">
      <x:colorScale>
        <x:cfvo type="min"/>
        <x:cfvo type="percentile" val="50"/>
        <x:cfvo type="max"/>
        <x:color rgb="FFEAF8F3"/>
        <x:color rgb="FFFFF7E6"/>
        <x:color rgb="FFFFF1F1"/>
      </x:colorScale>
    </x:cfRule>
  </x:conditionalFormatting>
  <x:pageMargins left="0.7" right="0.7" top="0.75" bottom="0.75" header="0.3" footer="0.3"/>
  <x:drawing xmlns:r="http://schemas.openxmlformats.org/officeDocument/2006/relationships" r:id="R9da9584061774750"/>
  <x:tableParts count="1">
    <x:tablePart xmlns:r="http://schemas.openxmlformats.org/officeDocument/2006/relationships" r:id="Re00adddb1dbe42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7" hidden="0" customWidth="1"/>
    <x:col min="4" max="4" width="43" hidden="0" customWidth="1"/>
    <x:col min="5" max="5" width="43" hidden="0" customWidth="1"/>
  </x:cols>
  <x:sheetData>
    <x:row r="1" ht="28" customHeight="1">
      <x:c r="A1" s="5" t="str">
        <x:v>Data Dictionary</x:v>
      </x:c>
      <x:c r="B1" s="5"/>
      <x:c r="C1" s="5"/>
      <x:c r="D1" s="5"/>
      <x:c r="E1" s="5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5"/>
      <x:c r="B2" s="5"/>
      <x:c r="C2" s="5"/>
      <x:c r="D2" s="5"/>
      <x:c r="E2" s="5"/>
    </x:row>
    <x:row r="3" ht="24" customHeight="1">
      <x:c r="A3" s="8" t="str">
        <x:v>Canonical event and case fields used across Python, PostgreSQL, Power BI, and Excel</x:v>
      </x:c>
      <x:c r="B3" s="8"/>
      <x:c r="C3" s="8"/>
      <x:c r="D3" s="8"/>
      <x:c r="E3" s="8"/>
    </x:row>
    <x:row r="5">
      <x:c r="A5" s="16" t="str">
        <x:v>Dataset</x:v>
      </x:c>
      <x:c r="B5" s="17" t="str">
        <x:v>Field</x:v>
      </x:c>
      <x:c r="C5" s="17" t="str">
        <x:v>Type</x:v>
      </x:c>
      <x:c r="D5" s="17" t="str">
        <x:v>Business Meaning</x:v>
      </x:c>
      <x:c r="E5" s="18" t="str">
        <x:v>Validation</x:v>
      </x:c>
    </x:row>
    <x:row r="6">
      <x:c r="A6" s="22" t="str">
        <x:v>Events</x:v>
      </x:c>
      <x:c r="B6" s="22" t="str">
        <x:v>case_id</x:v>
      </x:c>
      <x:c r="C6" s="22" t="str">
        <x:v>text</x:v>
      </x:c>
      <x:c r="D6" s="209" t="str">
        <x:v>Purchase-to-Pay case identifier</x:v>
      </x:c>
      <x:c r="E6" s="209" t="str">
        <x:v>Required; reconciles to case master</x:v>
      </x:c>
    </x:row>
    <x:row r="7">
      <x:c r="A7" s="23" t="str">
        <x:v>Events</x:v>
      </x:c>
      <x:c r="B7" s="23" t="str">
        <x:v>event_index</x:v>
      </x:c>
      <x:c r="C7" s="23" t="str">
        <x:v>integer</x:v>
      </x:c>
      <x:c r="D7" s="210" t="str">
        <x:v>Activity order within case</x:v>
      </x:c>
      <x:c r="E7" s="210" t="str">
        <x:v>Unique with case_id</x:v>
      </x:c>
    </x:row>
    <x:row r="8">
      <x:c r="A8" s="23" t="str">
        <x:v>Events</x:v>
      </x:c>
      <x:c r="B8" s="23" t="str">
        <x:v>activity</x:v>
      </x:c>
      <x:c r="C8" s="23" t="str">
        <x:v>text</x:v>
      </x:c>
      <x:c r="D8" s="210" t="str">
        <x:v>Executed workflow step</x:v>
      </x:c>
      <x:c r="E8" s="210" t="str">
        <x:v>Required</x:v>
      </x:c>
    </x:row>
    <x:row r="9">
      <x:c r="A9" s="23" t="str">
        <x:v>Events</x:v>
      </x:c>
      <x:c r="B9" s="23" t="str">
        <x:v>timestamp</x:v>
      </x:c>
      <x:c r="C9" s="23" t="str">
        <x:v>UTC datetime</x:v>
      </x:c>
      <x:c r="D9" s="210" t="str">
        <x:v>Event occurrence time</x:v>
      </x:c>
      <x:c r="E9" s="210" t="str">
        <x:v>Monotonic within case</x:v>
      </x:c>
    </x:row>
    <x:row r="10">
      <x:c r="A10" s="23" t="str">
        <x:v>Events</x:v>
      </x:c>
      <x:c r="B10" s="23" t="str">
        <x:v>resource_id</x:v>
      </x:c>
      <x:c r="C10" s="23" t="str">
        <x:v>text</x:v>
      </x:c>
      <x:c r="D10" s="210" t="str">
        <x:v>Synthetic person, vendor, or bot</x:v>
      </x:c>
      <x:c r="E10" s="210" t="str">
        <x:v>Required</x:v>
      </x:c>
    </x:row>
    <x:row r="11">
      <x:c r="A11" s="23" t="str">
        <x:v>Events</x:v>
      </x:c>
      <x:c r="B11" s="23" t="str">
        <x:v>resource_role</x:v>
      </x:c>
      <x:c r="C11" s="23" t="str">
        <x:v>text</x:v>
      </x:c>
      <x:c r="D11" s="210" t="str">
        <x:v>Operational role</x:v>
      </x:c>
      <x:c r="E11" s="210" t="str">
        <x:v>Controlled generator mapping</x:v>
      </x:c>
    </x:row>
    <x:row r="12">
      <x:c r="A12" s="23" t="str">
        <x:v>Events</x:v>
      </x:c>
      <x:c r="B12" s="23" t="str">
        <x:v>automated</x:v>
      </x:c>
      <x:c r="C12" s="23" t="str">
        <x:v>boolean</x:v>
      </x:c>
      <x:c r="D12" s="210" t="str">
        <x:v>Whether the event is automated</x:v>
      </x:c>
      <x:c r="E12" s="210" t="str">
        <x:v>true/false/1/0 normalized</x:v>
      </x:c>
    </x:row>
    <x:row r="13">
      <x:c r="A13" s="23" t="str">
        <x:v>Events</x:v>
      </x:c>
      <x:c r="B13" s="23" t="str">
        <x:v>processing_minutes</x:v>
      </x:c>
      <x:c r="C13" s="23" t="str">
        <x:v>decimal</x:v>
      </x:c>
      <x:c r="D13" s="210" t="str">
        <x:v>Estimated touch time</x:v>
      </x:c>
      <x:c r="E13" s="210" t="str">
        <x:v>Nonnegative</x:v>
      </x:c>
    </x:row>
    <x:row r="14">
      <x:c r="A14" s="23" t="str">
        <x:v>Cases</x:v>
      </x:c>
      <x:c r="B14" s="23" t="str">
        <x:v>amount_usd</x:v>
      </x:c>
      <x:c r="C14" s="23" t="str">
        <x:v>decimal</x:v>
      </x:c>
      <x:c r="D14" s="210" t="str">
        <x:v>Synthetic transaction amount</x:v>
      </x:c>
      <x:c r="E14" s="210" t="str">
        <x:v>Nonnegative</x:v>
      </x:c>
    </x:row>
    <x:row r="15">
      <x:c r="A15" s="23" t="str">
        <x:v>Cases</x:v>
      </x:c>
      <x:c r="B15" s="23" t="str">
        <x:v>variant_ground_truth</x:v>
      </x:c>
      <x:c r="C15" s="23" t="str">
        <x:v>text</x:v>
      </x:c>
      <x:c r="D15" s="210" t="str">
        <x:v>Generator benchmark variant</x:v>
      </x:c>
      <x:c r="E15" s="210" t="str">
        <x:v>Synthetic-only label</x:v>
      </x:c>
    </x:row>
    <x:row r="16">
      <x:c r="A16" s="23" t="str">
        <x:v>Cases</x:v>
      </x:c>
      <x:c r="B16" s="23" t="str">
        <x:v>event_count</x:v>
      </x:c>
      <x:c r="C16" s="23" t="str">
        <x:v>integer</x:v>
      </x:c>
      <x:c r="D16" s="210" t="str">
        <x:v>Declared event count</x:v>
      </x:c>
      <x:c r="E16" s="210" t="str">
        <x:v>Must reconcile</x:v>
      </x:c>
    </x:row>
    <x:row r="17">
      <x:c r="A17" s="23" t="str">
        <x:v>Cases</x:v>
      </x:c>
      <x:c r="B17" s="23" t="str">
        <x:v>cycle_time_hours</x:v>
      </x:c>
      <x:c r="C17" s="23" t="str">
        <x:v>decimal</x:v>
      </x:c>
      <x:c r="D17" s="210" t="str">
        <x:v>Creation-to-completion duration</x:v>
      </x:c>
      <x:c r="E17" s="210" t="str">
        <x:v>Nonnegative</x:v>
      </x:c>
    </x:row>
    <x:row r="18">
      <x:c r="A18" s="23" t="str">
        <x:v>Cases</x:v>
      </x:c>
      <x:c r="B18" s="23" t="str">
        <x:v>sla_target_hours</x:v>
      </x:c>
      <x:c r="C18" s="23" t="str">
        <x:v>decimal</x:v>
      </x:c>
      <x:c r="D18" s="210" t="str">
        <x:v>Priority-specific service target</x:v>
      </x:c>
      <x:c r="E18" s="210" t="str">
        <x:v>120 / 240 / 336</x:v>
      </x:c>
    </x:row>
    <x:row r="19">
      <x:c r="A19" s="23" t="str">
        <x:v>Cases</x:v>
      </x:c>
      <x:c r="B19" s="23" t="str">
        <x:v>sla_breached</x:v>
      </x:c>
      <x:c r="C19" s="23" t="str">
        <x:v>boolean</x:v>
      </x:c>
      <x:c r="D19" s="210" t="str">
        <x:v>Cycle exceeds target</x:v>
      </x:c>
      <x:c r="E19" s="210" t="str">
        <x:v>Derived outcome</x:v>
      </x:c>
    </x:row>
    <x:row r="20">
      <x:c r="A20" s="23" t="str">
        <x:v>Analysis</x:v>
      </x:c>
      <x:c r="B20" s="23" t="str">
        <x:v>fitness</x:v>
      </x:c>
      <x:c r="C20" s="23" t="str">
        <x:v>decimal</x:v>
      </x:c>
      <x:c r="D20" s="210" t="str">
        <x:v>Normalized trace conformance</x:v>
      </x:c>
      <x:c r="E20" s="210" t="str">
        <x:v>0 to 1</x:v>
      </x:c>
    </x:row>
    <x:row r="21">
      <x:c r="A21" s="23" t="str">
        <x:v>Analysis</x:v>
      </x:c>
      <x:c r="B21" s="23" t="str">
        <x:v>risk_score</x:v>
      </x:c>
      <x:c r="C21" s="23" t="str">
        <x:v>decimal</x:v>
      </x:c>
      <x:c r="D21" s="210" t="str">
        <x:v>Predicted SLA breach probability</x:v>
      </x:c>
      <x:c r="E21" s="210" t="str">
        <x:v>Human review only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f7661dc5a59642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38" hidden="0" customWidth="1"/>
    <x:col min="4" max="4" width="16" hidden="0" customWidth="1"/>
  </x:cols>
  <x:sheetData>
    <x:row r="1" ht="28" customHeight="1">
      <x:c r="A1" s="5" t="str">
        <x:v>Sources &amp; Governance</x:v>
      </x:c>
      <x:c r="B1" s="5"/>
      <x:c r="C1" s="5"/>
      <x:c r="D1" s="5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8" customHeight="1">
      <x:c r="A2" s="5"/>
      <x:c r="B2" s="5"/>
      <x:c r="C2" s="5"/>
      <x:c r="D2" s="5"/>
    </x:row>
    <x:row r="3" ht="24" customHeight="1">
      <x:c r="A3" s="8" t="str">
        <x:v>Primary technical sources · accessed 2026-07-28</x:v>
      </x:c>
      <x:c r="B3" s="8"/>
      <x:c r="C3" s="8"/>
      <x:c r="D3" s="8"/>
    </x:row>
    <x:row r="5">
      <x:c r="A5" s="16" t="str">
        <x:v>Topic</x:v>
      </x:c>
      <x:c r="B5" s="17" t="str">
        <x:v>Primary URL</x:v>
      </x:c>
      <x:c r="C5" s="17" t="str">
        <x:v>Use</x:v>
      </x:c>
      <x:c r="D5" s="18" t="str">
        <x:v>Accessed</x:v>
      </x:c>
    </x:row>
    <x:row r="6">
      <x:c r="A6" s="22" t="str">
        <x:v>PM4Py features</x:v>
      </x:c>
      <x:c r="B6" s="22" t="str">
        <x:v>https://processintelligence.solutions/pm4py/features</x:v>
      </x:c>
      <x:c r="C6" s="22" t="str">
        <x:v>Discovery and conformance scope</x:v>
      </x:c>
      <x:c r="D6" s="22" t="str">
        <x:v>2026-07-28</x:v>
      </x:c>
    </x:row>
    <x:row r="7">
      <x:c r="A7" s="23" t="str">
        <x:v>PM4Py API</x:v>
      </x:c>
      <x:c r="B7" s="23" t="str">
        <x:v>https://processintelligence.solutions/pm4py/api/index.html</x:v>
      </x:c>
      <x:c r="C7" s="23" t="str">
        <x:v>Python integration</x:v>
      </x:c>
      <x:c r="D7" s="23" t="str">
        <x:v>2026-07-28</x:v>
      </x:c>
    </x:row>
    <x:row r="8">
      <x:c r="A8" s="23" t="str">
        <x:v>BPMN 2.0.2</x:v>
      </x:c>
      <x:c r="B8" s="23" t="str">
        <x:v>https://www.omg.org/spec/BPMN/2.0.2/About-BPMN</x:v>
      </x:c>
      <x:c r="C8" s="23" t="str">
        <x:v>Reference-process notation</x:v>
      </x:c>
      <x:c r="D8" s="23" t="str">
        <x:v>2026-07-28</x:v>
      </x:c>
    </x:row>
    <x:row r="9">
      <x:c r="A9" s="23" t="str">
        <x:v>Power BI Projects</x:v>
      </x:c>
      <x:c r="B9" s="23" t="str">
        <x:v>https://learn.microsoft.com/en-us/power-bi/developer/projects/projects-overview</x:v>
      </x:c>
      <x:c r="C9" s="23" t="str">
        <x:v>PBIP source format</x:v>
      </x:c>
      <x:c r="D9" s="23" t="str">
        <x:v>2026-07-28</x:v>
      </x:c>
    </x:row>
    <x:row r="10">
      <x:c r="A10" s="23" t="str">
        <x:v>FastAPI</x:v>
      </x:c>
      <x:c r="B10" s="23" t="str">
        <x:v>https://fastapi.tiangolo.com/</x:v>
      </x:c>
      <x:c r="C10" s="23" t="str">
        <x:v>Read-only API</x:v>
      </x:c>
      <x:c r="D10" s="23" t="str">
        <x:v>2026-07-28</x:v>
      </x:c>
    </x:row>
    <x:row r="11">
      <x:c r="A11" s="23" t="str">
        <x:v>PostgreSQL 17</x:v>
      </x:c>
      <x:c r="B11" s="23" t="str">
        <x:v>https://www.postgresql.org/docs/17/</x:v>
      </x:c>
      <x:c r="C11" s="23" t="str">
        <x:v>Schema and views</x:v>
      </x:c>
      <x:c r="D11" s="23" t="str">
        <x:v>2026-07-28</x:v>
      </x:c>
    </x:row>
    <x:row r="12">
      <x:c r="A12" s="23" t="str">
        <x:v>scikit-learn</x:v>
      </x:c>
      <x:c r="B12" s="23" t="str">
        <x:v>https://scikit-learn.org/stable/modules/generated/sklearn.linear_model.LogisticRegression.html</x:v>
      </x:c>
      <x:c r="C12" s="23" t="str">
        <x:v>SLA classifier</x:v>
      </x:c>
      <x:c r="D12" s="23" t="str">
        <x:v>2026-07-28</x:v>
      </x:c>
    </x:row>
    <x:row r="13">
      <x:c r="A13" s="23" t="str">
        <x:v>Docker Compose</x:v>
      </x:c>
      <x:c r="B13" s="23" t="str">
        <x:v>https://docs.docker.com/compose/</x:v>
      </x:c>
      <x:c r="C13" s="23" t="str">
        <x:v>Local orchestration</x:v>
      </x:c>
      <x:c r="D13" s="23" t="str">
        <x:v>2026-07-28</x:v>
      </x:c>
    </x:row>
    <x:row r="14">
      <x:c r="A14" s="23" t="str">
        <x:v>Prometheus</x:v>
      </x:c>
      <x:c r="B14" s="23" t="str">
        <x:v>https://prometheus.io/docs/prometheus/latest/configuration/configuration/</x:v>
      </x:c>
      <x:c r="C14" s="23" t="str">
        <x:v>Metrics collection</x:v>
      </x:c>
      <x:c r="D14" s="23" t="str">
        <x:v>2026-07-28</x:v>
      </x:c>
    </x:row>
    <x:row r="17">
      <x:c r="A17" s="207" t="str">
        <x:v>Governance notice: all organizations, vendors, resources, transactions, events, predictions, and financial estimates are synthetic. Simulation results are hypotheses, not guaranteed returns.</x:v>
      </x:c>
      <x:c r="B17" s="207"/>
      <x:c r="C17" s="207"/>
      <x:c r="D17" s="207"/>
    </x:row>
    <x:row r="18">
      <x:c r="A18" s="207"/>
      <x:c r="B18" s="207"/>
      <x:c r="C18" s="207"/>
      <x:c r="D18" s="207"/>
    </x:row>
    <x:row r="19">
      <x:c r="A19" s="207"/>
      <x:c r="B19" s="207"/>
      <x:c r="C19" s="207"/>
      <x:c r="D19" s="207"/>
    </x:row>
  </x:sheetData>
  <x:mergeCells>
    <x:mergeCell ref="A1:D2"/>
    <x:mergeCell ref="A3:D3"/>
    <x:mergeCell ref="A17:D17"/>
    <x:mergeCell ref="A18:D18"/>
    <x:mergeCell ref="A19:D19"/>
  </x:mergeCells>
  <x:pageMargins left="0.7" right="0.7" top="0.75" bottom="0.75" header="0.3" footer="0.3"/>
</x:worksheet>
</file>